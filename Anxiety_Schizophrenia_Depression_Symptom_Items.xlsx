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nxiety Symptoms" sheetId="2" state="visible" r:id="rId4"/>
    <sheet name="Schizophrenia Symptoms" sheetId="3" state="visible" r:id="rId5"/>
    <sheet name="Depression Symptoms" sheetId="4" state="visible" r:id="rId6"/>
    <sheet name="Summary" sheetId="5" state="visible" r:id="rId7"/>
  </sheets>
  <definedNames>
    <definedName function="false" hidden="true" localSheetId="1" name="_xlnm._FilterDatabase" vbProcedure="false">'Anxiety Symptoms'!$A$1:$G$54</definedName>
    <definedName function="false" hidden="true" localSheetId="3" name="_xlnm._FilterDatabase" vbProcedure="false">'Depression Symptoms'!$A$1:$G$57</definedName>
    <definedName function="false" hidden="true" localSheetId="2" name="_xlnm._FilterDatabase" vbProcedure="false">'Schizophrenia Symptoms'!$A$1:$G$64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<sst xmlns="http://schemas.openxmlformats.org/spreadsheetml/2006/main" count="1326" uniqueCount="566">
  <si>
    <t xml:space="preserve">Mood Tracker Symptom Items: Anxiety, Schizophrenia and Depression</t>
  </si>
  <si>
    <t xml:space="preserve">What this is</t>
  </si>
  <si>
    <t xml:space="preserve">Starter lists of anxiety, schizophrenia, and depression symptoms plus general health items, each tagged with a suggested input type for a mood tracker app. It follows the same layout as the ADHD / Bipolar workbook, so the two can be combined. Edit freely: change wording, swap input types, or delete rows.</t>
  </si>
  <si>
    <t xml:space="preserve">Tabs</t>
  </si>
  <si>
    <t xml:space="preserve">Anxiety Symptoms: 53 items (worry, restlessness and focus, physical symptoms, panic attacks, social anxiety, avoidance, sleep, context, overall check-in).</t>
  </si>
  <si>
    <t xml:space="preserve">Schizophrenia Symptoms: 63 items (hallucinations, delusions, disorganized thinking and behavior, negative symptoms, cognitive symptoms, mood and sleep, early warning signs, safety check-in, context, overall check-in).</t>
  </si>
  <si>
    <t xml:space="preserve">Depression Symptoms: 56 items (mood, interest and pleasure, guilt and hopelessness, energy, concentration, sleep, appetite, physical symptoms, irritability and anxiety, withdrawal, safety check-in, context, overall check-in).</t>
  </si>
  <si>
    <t xml:space="preserve">Summary: counts by input type and by category for each of the three lists. The counts are formulas, so they update when you change a row.</t>
  </si>
  <si>
    <t xml:space="preserve">How the columns work</t>
  </si>
  <si>
    <t xml:space="preserve">Input Type: Slider = rate on a 0-10 scale; Radio = pick one option; Checkbox = tick if it happened today. Change it using the dropdown; the Summary tab updates automatically.</t>
  </si>
  <si>
    <t xml:space="preserve">Scale / Options: for sliders, the end labels; for radio, the options separated by ' | '; for checkboxes, what a tick means.</t>
  </si>
  <si>
    <t xml:space="preserve">Higher Score Means: whether a higher value is worse (symptom) or better (e.g. energy, sleep). Safety items say 'more concerning'. Context items are marked 'n/a (context)' and descriptive items 'n/a (descriptive)'.</t>
  </si>
  <si>
    <t xml:space="preserve">IDs: AX = Anxiety, SZ = Schizophrenia, DP = Depression (the ADHD and Bipolar workbook uses S and B).</t>
  </si>
  <si>
    <t xml:space="preserve">Where the items come from</t>
  </si>
  <si>
    <t xml:space="preserve">I read the National Institute of Mental Health (NIMH) pages for generalized anxiety disorder, panic disorder, social anxiety disorder, schizophrenia, psychosis, and depression, and used their wording for the symptom lists (nimh.nih.gov/health/publications and /topics).</t>
  </si>
  <si>
    <t xml:space="preserve">The Notes column also cites DSM-5 criteria (generalized anxiety, panic attack, social anxiety, major depressive episode, schizophrenia criterion A). I did not retrieve the DSM-5 text itself: those references come from the standard published criteria, so please have a clinician review them before the lists ship in the app.</t>
  </si>
  <si>
    <t xml:space="preserve">Sleep, context, coping, and overall check-in items are common tracker additions, not diagnostic criteria. Items labelled 'Commonly reported' are not DSM-5 criteria.</t>
  </si>
  <si>
    <t xml:space="preserve">Anxiety covers generalized anxiety, panic, and social anxiety together, because they share many symptoms. Specific phobias, OCD, and PTSD are not covered here.</t>
  </si>
  <si>
    <t xml:space="preserve">Important</t>
  </si>
  <si>
    <t xml:space="preserve">This is for self-tracking and pattern-spotting, not for diagnosis. Both the Depression and Schizophrenia lists include a Safety Check-in with a 'thoughts of death or harming myself' item (the Schizophrenia list also asks about voices that tell the person to cause harm). The app should respond to any positive answer with crisis resources (US: call or text 988) rather than only logging it.</t>
  </si>
  <si>
    <t xml:space="preserve">Schizophrenia note: during an episode, people often cannot tell that a belief or experience is a symptom. Self-rated items may under-report, so the Schizophrenia list includes items about what other people have noticed, and works best alongside a care team or a trusted support person.</t>
  </si>
  <si>
    <t xml:space="preserve">ID</t>
  </si>
  <si>
    <t xml:space="preserve">Category</t>
  </si>
  <si>
    <t xml:space="preserve">Symptom / Prompt (as shown in app)</t>
  </si>
  <si>
    <t xml:space="preserve">Input Type</t>
  </si>
  <si>
    <t xml:space="preserve">Scale / Options</t>
  </si>
  <si>
    <t xml:space="preserve">Higher Score Means</t>
  </si>
  <si>
    <t xml:space="preserve">Notes</t>
  </si>
  <si>
    <t xml:space="preserve">AX001</t>
  </si>
  <si>
    <t xml:space="preserve">Worry &amp; Anxious Thoughts</t>
  </si>
  <si>
    <t xml:space="preserve">Worry about everyday things (work, health, money, family)</t>
  </si>
  <si>
    <t xml:space="preserve">Slider</t>
  </si>
  <si>
    <t xml:space="preserve">0 = Not at all, 10 = Severe</t>
  </si>
  <si>
    <t xml:space="preserve">Higher = more symptom</t>
  </si>
  <si>
    <t xml:space="preserve">DSM-5 GAD: excessive worry; NIMH: 'worry excessively about everyday things'</t>
  </si>
  <si>
    <t xml:space="preserve">AX002</t>
  </si>
  <si>
    <t xml:space="preserve">Difficulty controlling or stopping my worrying</t>
  </si>
  <si>
    <t xml:space="preserve">DSM-5 GAD: difficulty controlling the worry; NIMH</t>
  </si>
  <si>
    <t xml:space="preserve">AX003</t>
  </si>
  <si>
    <t xml:space="preserve">Worry felt out of proportion to the situation</t>
  </si>
  <si>
    <t xml:space="preserve">Radio</t>
  </si>
  <si>
    <t xml:space="preserve">Not at all | Somewhat | Mostly | Completely</t>
  </si>
  <si>
    <t xml:space="preserve">DSM-5 GAD: worry out of proportion to the actual risk</t>
  </si>
  <si>
    <t xml:space="preserve">AX004</t>
  </si>
  <si>
    <t xml:space="preserve">Felt nervous or anxious, even without a clear reason</t>
  </si>
  <si>
    <t xml:space="preserve">NIMH: feelings of nervousness</t>
  </si>
  <si>
    <t xml:space="preserve">AX005</t>
  </si>
  <si>
    <t xml:space="preserve">Expected the worst outcome ('what if' thinking)</t>
  </si>
  <si>
    <t xml:space="preserve">Catastrophizing; NIMH lists 'expect the worst' for social anxiety, common across anxiety disorders</t>
  </si>
  <si>
    <t xml:space="preserve">AX006</t>
  </si>
  <si>
    <t xml:space="preserve">Felt a sense of dread or that something bad was about to happen</t>
  </si>
  <si>
    <t xml:space="preserve">NIMH panic disorder: fear of impending doom; also common in generalized anxiety</t>
  </si>
  <si>
    <t xml:space="preserve">AX007</t>
  </si>
  <si>
    <t xml:space="preserve">Worried about when the next panic attack might happen</t>
  </si>
  <si>
    <t xml:space="preserve">NIMH panic disorder: intense worry about the next attack</t>
  </si>
  <si>
    <t xml:space="preserve">AX008</t>
  </si>
  <si>
    <t xml:space="preserve">Restlessness, Irritability &amp; Focus</t>
  </si>
  <si>
    <t xml:space="preserve">Felt restless, keyed up, or on edge</t>
  </si>
  <si>
    <t xml:space="preserve">DSM-5 GAD criterion; NIMH</t>
  </si>
  <si>
    <t xml:space="preserve">AX009</t>
  </si>
  <si>
    <t xml:space="preserve">Trouble relaxing</t>
  </si>
  <si>
    <t xml:space="preserve">NIMH: 'trouble relaxing'</t>
  </si>
  <si>
    <t xml:space="preserve">AX010</t>
  </si>
  <si>
    <t xml:space="preserve">Irritable or short-tempered</t>
  </si>
  <si>
    <t xml:space="preserve">AX011</t>
  </si>
  <si>
    <t xml:space="preserve">Trouble concentrating, or my mind went blank</t>
  </si>
  <si>
    <t xml:space="preserve">DSM-5 GAD criterion; NIMH social anxiety: 'mind going blank'</t>
  </si>
  <si>
    <t xml:space="preserve">AX012</t>
  </si>
  <si>
    <t xml:space="preserve">Easily startled or jumpy</t>
  </si>
  <si>
    <t xml:space="preserve">Common hypervigilance; not a core DSM-5 criterion for GAD</t>
  </si>
  <si>
    <t xml:space="preserve">AX013</t>
  </si>
  <si>
    <t xml:space="preserve">Felt tired or worn out from anxiety</t>
  </si>
  <si>
    <t xml:space="preserve">DSM-5 GAD criterion: easily fatigued; NIMH</t>
  </si>
  <si>
    <t xml:space="preserve">AX014</t>
  </si>
  <si>
    <t xml:space="preserve">Physical Symptoms</t>
  </si>
  <si>
    <t xml:space="preserve">Muscle tension or tightness</t>
  </si>
  <si>
    <t xml:space="preserve">DSM-5 GAD criterion; NIMH: tension</t>
  </si>
  <si>
    <t xml:space="preserve">AX015</t>
  </si>
  <si>
    <t xml:space="preserve">Racing or pounding heart</t>
  </si>
  <si>
    <t xml:space="preserve">NIMH panic and social anxiety; DSM-5 panic: palpitations</t>
  </si>
  <si>
    <t xml:space="preserve">AX016</t>
  </si>
  <si>
    <t xml:space="preserve">Shortness of breath or trouble catching my breath</t>
  </si>
  <si>
    <t xml:space="preserve">NIMH; DSM-5 panic</t>
  </si>
  <si>
    <t xml:space="preserve">AX017</t>
  </si>
  <si>
    <t xml:space="preserve">Sweating or trembling</t>
  </si>
  <si>
    <t xml:space="preserve">AX018</t>
  </si>
  <si>
    <t xml:space="preserve">Lightheaded or dizzy</t>
  </si>
  <si>
    <t xml:space="preserve">NIMH GAD and panic</t>
  </si>
  <si>
    <t xml:space="preserve">AX019</t>
  </si>
  <si>
    <t xml:space="preserve">Headache or muscle aches</t>
  </si>
  <si>
    <t xml:space="preserve">NIMH GAD: pain such as headaches, muscle aches, tension</t>
  </si>
  <si>
    <t xml:space="preserve">AX020</t>
  </si>
  <si>
    <t xml:space="preserve">Upset stomach, nausea, or frequent bathroom trips</t>
  </si>
  <si>
    <t xml:space="preserve">AX021</t>
  </si>
  <si>
    <t xml:space="preserve">Lump in throat or trouble swallowing</t>
  </si>
  <si>
    <t xml:space="preserve">Checkbox</t>
  </si>
  <si>
    <t xml:space="preserve">Checked = happened today</t>
  </si>
  <si>
    <t xml:space="preserve">NIMH GAD: hard time swallowing</t>
  </si>
  <si>
    <t xml:space="preserve">AX022</t>
  </si>
  <si>
    <t xml:space="preserve">Panic Attacks</t>
  </si>
  <si>
    <t xml:space="preserve">Had a panic attack (sudden surge of intense fear)</t>
  </si>
  <si>
    <t xml:space="preserve">DSM-5 panic attack: abrupt surge of intense fear that peaks within minutes. NIMH panic disorder</t>
  </si>
  <si>
    <t xml:space="preserve">AX023</t>
  </si>
  <si>
    <t xml:space="preserve">Intensity of the worst moment (0 if no panic attack)</t>
  </si>
  <si>
    <t xml:space="preserve">Pair with the panic attack checkbox</t>
  </si>
  <si>
    <t xml:space="preserve">AX024</t>
  </si>
  <si>
    <t xml:space="preserve">Fear of losing control or 'going crazy'</t>
  </si>
  <si>
    <t xml:space="preserve">DSM-5 panic attack symptom; NIMH: feeling out of control</t>
  </si>
  <si>
    <t xml:space="preserve">AX025</t>
  </si>
  <si>
    <t xml:space="preserve">Fear of dying</t>
  </si>
  <si>
    <t xml:space="preserve">DSM-5 panic attack symptom; NIMH: fear of death</t>
  </si>
  <si>
    <t xml:space="preserve">AX026</t>
  </si>
  <si>
    <t xml:space="preserve">Chest pain or tightness</t>
  </si>
  <si>
    <t xml:space="preserve">NIMH panic symptom. Because chest pain can have physical causes, new or severe chest pain should be checked by a medical professional</t>
  </si>
  <si>
    <t xml:space="preserve">AX027</t>
  </si>
  <si>
    <t xml:space="preserve">Tingling or numb hands or feet</t>
  </si>
  <si>
    <t xml:space="preserve">DSM-5 panic attack symptom: paresthesias; NIMH</t>
  </si>
  <si>
    <t xml:space="preserve">AX028</t>
  </si>
  <si>
    <t xml:space="preserve">Chills or hot flushes</t>
  </si>
  <si>
    <t xml:space="preserve">DSM-5 panic attack symptom; NIMH: chills</t>
  </si>
  <si>
    <t xml:space="preserve">AX029</t>
  </si>
  <si>
    <t xml:space="preserve">Felt detached from myself or my surroundings</t>
  </si>
  <si>
    <t xml:space="preserve">DSM-5 panic attack symptom: derealization / depersonalization</t>
  </si>
  <si>
    <t xml:space="preserve">AX030</t>
  </si>
  <si>
    <t xml:space="preserve">Social Anxiety</t>
  </si>
  <si>
    <t xml:space="preserve">Fear of being judged, embarrassed, or humiliated by others</t>
  </si>
  <si>
    <t xml:space="preserve">DSM-5 social anxiety: fear of negative evaluation; NIMH</t>
  </si>
  <si>
    <t xml:space="preserve">AX031</t>
  </si>
  <si>
    <t xml:space="preserve">Dreaded an upcoming social situation</t>
  </si>
  <si>
    <t xml:space="preserve">DSM-5 social anxiety: anticipatory anxiety</t>
  </si>
  <si>
    <t xml:space="preserve">AX032</t>
  </si>
  <si>
    <t xml:space="preserve">Replayed a social interaction afterward, picking apart flaws</t>
  </si>
  <si>
    <t xml:space="preserve">NIMH: analyze their performance and identify self-perceived flaws</t>
  </si>
  <si>
    <t xml:space="preserve">AX033</t>
  </si>
  <si>
    <t xml:space="preserve">Blushing, shaking, or a trembling voice around others</t>
  </si>
  <si>
    <t xml:space="preserve">NIMH: blush, sweat, or tremble</t>
  </si>
  <si>
    <t xml:space="preserve">AX034</t>
  </si>
  <si>
    <t xml:space="preserve">Trouble making eye contact or speaking up around others</t>
  </si>
  <si>
    <t xml:space="preserve">NIMH social anxiety: difficulty making eye contact or talking to people</t>
  </si>
  <si>
    <t xml:space="preserve">AX035</t>
  </si>
  <si>
    <t xml:space="preserve">Avoidance &amp; Safety Behaviors</t>
  </si>
  <si>
    <t xml:space="preserve">Avoided a place, person, or situation because of anxiety</t>
  </si>
  <si>
    <t xml:space="preserve">No | Avoided something small | Avoided something important</t>
  </si>
  <si>
    <t xml:space="preserve">Avoidance is a feature of panic disorder, social anxiety, and phobias (DSM-5; NIMH)</t>
  </si>
  <si>
    <t xml:space="preserve">AX036</t>
  </si>
  <si>
    <t xml:space="preserve">Left or escaped a situation early because of anxiety</t>
  </si>
  <si>
    <t xml:space="preserve">Escape behavior; common across anxiety disorders</t>
  </si>
  <si>
    <t xml:space="preserve">AX037</t>
  </si>
  <si>
    <t xml:space="preserve">Needed reassurance or a 'safe' person or item to get through the day</t>
  </si>
  <si>
    <t xml:space="preserve">Safety behaviors; common in anxiety disorders, not a DSM-5 criterion</t>
  </si>
  <si>
    <t xml:space="preserve">AX038</t>
  </si>
  <si>
    <t xml:space="preserve">Put off or cancelled plans because of anxiety</t>
  </si>
  <si>
    <t xml:space="preserve">Avoidance; NIMH: avoid situations where they may have to interact with others</t>
  </si>
  <si>
    <t xml:space="preserve">AX039</t>
  </si>
  <si>
    <t xml:space="preserve">Checked, rehearsed, or over-prepared to calm my worry</t>
  </si>
  <si>
    <t xml:space="preserve">Common coping pattern in GAD; useful for pattern spotting</t>
  </si>
  <si>
    <t xml:space="preserve">AX040</t>
  </si>
  <si>
    <t xml:space="preserve">Sleep</t>
  </si>
  <si>
    <t xml:space="preserve">Trouble falling asleep because of worry</t>
  </si>
  <si>
    <t xml:space="preserve">DSM-5 GAD: sleep disturbance; NIMH</t>
  </si>
  <si>
    <t xml:space="preserve">AX041</t>
  </si>
  <si>
    <t xml:space="preserve">Woke in the night feeling anxious</t>
  </si>
  <si>
    <t xml:space="preserve">DSM-5 GAD: sleep disturbance (staying asleep)</t>
  </si>
  <si>
    <t xml:space="preserve">AX042</t>
  </si>
  <si>
    <t xml:space="preserve">Hours slept last night</t>
  </si>
  <si>
    <t xml:space="preserve">Under 5 | 5-6 | 7-8 | 9 or more</t>
  </si>
  <si>
    <t xml:space="preserve">n/a (descriptive)</t>
  </si>
  <si>
    <t xml:space="preserve">Descriptive; helps spot sleep-anxiety patterns</t>
  </si>
  <si>
    <t xml:space="preserve">AX043</t>
  </si>
  <si>
    <t xml:space="preserve">Sleep quality</t>
  </si>
  <si>
    <t xml:space="preserve">0 = Very poor, 10 = Excellent</t>
  </si>
  <si>
    <t xml:space="preserve">Higher = better</t>
  </si>
  <si>
    <t xml:space="preserve">Reverse-scored: higher is better</t>
  </si>
  <si>
    <t xml:space="preserve">AX044</t>
  </si>
  <si>
    <t xml:space="preserve">Context &amp; Coping</t>
  </si>
  <si>
    <t xml:space="preserve">Caffeine today</t>
  </si>
  <si>
    <t xml:space="preserve">None | 1-2 drinks | 3 or more drinks</t>
  </si>
  <si>
    <t xml:space="preserve">n/a (context)</t>
  </si>
  <si>
    <t xml:space="preserve">Caffeine can worsen anxiety symptoms in some people; a common tracker addition</t>
  </si>
  <si>
    <t xml:space="preserve">AX045</t>
  </si>
  <si>
    <t xml:space="preserve">Alcohol or other substances today</t>
  </si>
  <si>
    <t xml:space="preserve">None | A little | Moderate | A lot</t>
  </si>
  <si>
    <t xml:space="preserve">Substances can affect anxiety and sleep</t>
  </si>
  <si>
    <t xml:space="preserve">AX046</t>
  </si>
  <si>
    <t xml:space="preserve">Took medication as planned</t>
  </si>
  <si>
    <t xml:space="preserve">Yes | Partly | No | Not applicable</t>
  </si>
  <si>
    <t xml:space="preserve">Only relevant if the user has a medication plan</t>
  </si>
  <si>
    <t xml:space="preserve">AX047</t>
  </si>
  <si>
    <t xml:space="preserve">Exercise or movement</t>
  </si>
  <si>
    <t xml:space="preserve">Context item; not a diagnostic criterion</t>
  </si>
  <si>
    <t xml:space="preserve">AX048</t>
  </si>
  <si>
    <t xml:space="preserve">Stressful event today</t>
  </si>
  <si>
    <t xml:space="preserve">Context item; helps link triggers to symptoms</t>
  </si>
  <si>
    <t xml:space="preserve">AX049</t>
  </si>
  <si>
    <t xml:space="preserve">Social interaction</t>
  </si>
  <si>
    <t xml:space="preserve">None | Brief | Some | A lot</t>
  </si>
  <si>
    <t xml:space="preserve">Context item. Interpret alongside the avoidance items</t>
  </si>
  <si>
    <t xml:space="preserve">AX050</t>
  </si>
  <si>
    <t xml:space="preserve">Used a coping tool (breathing, grounding, walk, call a friend)</t>
  </si>
  <si>
    <t xml:space="preserve">Context item; helps show what works</t>
  </si>
  <si>
    <t xml:space="preserve">AX051</t>
  </si>
  <si>
    <t xml:space="preserve">Overall Check-in</t>
  </si>
  <si>
    <t xml:space="preserve">Overall anxiety level today</t>
  </si>
  <si>
    <t xml:space="preserve">Quick summary rating</t>
  </si>
  <si>
    <t xml:space="preserve">AX052</t>
  </si>
  <si>
    <t xml:space="preserve">How much anxiety got in the way of work, home, or relationships</t>
  </si>
  <si>
    <t xml:space="preserve">DSM-5 requires clinically significant distress or impairment; this is a daily proxy</t>
  </si>
  <si>
    <t xml:space="preserve">AX053</t>
  </si>
  <si>
    <t xml:space="preserve">Overall mood</t>
  </si>
  <si>
    <t xml:space="preserve">Very low | Low | Okay | Good | Very good</t>
  </si>
  <si>
    <t xml:space="preserve">SZ001</t>
  </si>
  <si>
    <t xml:space="preserve">Hallucinations</t>
  </si>
  <si>
    <t xml:space="preserve">Heard voices or sounds that other people couldn't hear</t>
  </si>
  <si>
    <t xml:space="preserve">Not at all | Briefly | Several times | Most of the day</t>
  </si>
  <si>
    <t xml:space="preserve">DSM-5 criterion A: hallucinations; NIMH: hearing voices is common</t>
  </si>
  <si>
    <t xml:space="preserve">SZ002</t>
  </si>
  <si>
    <t xml:space="preserve">Voices commented on me or criticized me</t>
  </si>
  <si>
    <t xml:space="preserve">NIMH psychosis: voices that criticize. Voices that give commands are asked about under Safety Check-in</t>
  </si>
  <si>
    <t xml:space="preserve">SZ003</t>
  </si>
  <si>
    <t xml:space="preserve">How distressing the voices or sounds were</t>
  </si>
  <si>
    <t xml:space="preserve">Distress is useful for pattern spotting and clinician review</t>
  </si>
  <si>
    <t xml:space="preserve">SZ004</t>
  </si>
  <si>
    <t xml:space="preserve">Saw things that other people couldn't see</t>
  </si>
  <si>
    <t xml:space="preserve">DSM-5 criterion A: hallucinations (any sense); NIMH</t>
  </si>
  <si>
    <t xml:space="preserve">SZ005</t>
  </si>
  <si>
    <t xml:space="preserve">Unusual smells, tastes, or touch sensations with no clear cause</t>
  </si>
  <si>
    <t xml:space="preserve">DSM-5: hallucinations can involve any sense; less common than voices</t>
  </si>
  <si>
    <t xml:space="preserve">SZ006</t>
  </si>
  <si>
    <t xml:space="preserve">Unsure whether something I saw or heard was real</t>
  </si>
  <si>
    <t xml:space="preserve">NIMH early signs: trouble telling what is real from what is imagined</t>
  </si>
  <si>
    <t xml:space="preserve">SZ007</t>
  </si>
  <si>
    <t xml:space="preserve">Delusions &amp; Unusual Beliefs</t>
  </si>
  <si>
    <t xml:space="preserve">Felt suspicious, watched, followed, or talked about</t>
  </si>
  <si>
    <t xml:space="preserve">DSM-5 delusions (persecutory type is the most common); NIMH: growing suspicion</t>
  </si>
  <si>
    <t xml:space="preserve">SZ008</t>
  </si>
  <si>
    <t xml:space="preserve">Believed others were trying to harm me</t>
  </si>
  <si>
    <t xml:space="preserve">NIMH delusions: believing others are trying to hurt them</t>
  </si>
  <si>
    <t xml:space="preserve">SZ009</t>
  </si>
  <si>
    <t xml:space="preserve">Felt TV, radio, or messages had a special meaning meant for me</t>
  </si>
  <si>
    <t xml:space="preserve">NIMH delusions: broadcasts holding special messages that require a response (ideas of reference)</t>
  </si>
  <si>
    <t xml:space="preserve">SZ010</t>
  </si>
  <si>
    <t xml:space="preserve">Felt my thoughts were being controlled, put in, taken out, or broadcast</t>
  </si>
  <si>
    <t xml:space="preserve">Recognized delusion theme in DSM-5 text (thought insertion / broadcasting)</t>
  </si>
  <si>
    <t xml:space="preserve">SZ011</t>
  </si>
  <si>
    <t xml:space="preserve">Felt an outside force was controlling my body or actions</t>
  </si>
  <si>
    <t xml:space="preserve">Recognized delusion theme in DSM-5 text (delusions of control)</t>
  </si>
  <si>
    <t xml:space="preserve">SZ012</t>
  </si>
  <si>
    <t xml:space="preserve">Strong sense of having special powers, a mission, or great importance</t>
  </si>
  <si>
    <t xml:space="preserve">DSM-5 delusions: grandiose type</t>
  </si>
  <si>
    <t xml:space="preserve">SZ013</t>
  </si>
  <si>
    <t xml:space="preserve">How certain I was about an unusual belief</t>
  </si>
  <si>
    <t xml:space="preserve">0 = Not at all certain, 10 = Completely certain</t>
  </si>
  <si>
    <t xml:space="preserve">Conviction can move before the belief itself changes. Insight may be limited during episodes, so a trusted person's input helps</t>
  </si>
  <si>
    <t xml:space="preserve">SZ014</t>
  </si>
  <si>
    <t xml:space="preserve">An unusual belief affected what I did today</t>
  </si>
  <si>
    <t xml:space="preserve">Behavior driven by a belief is a useful sign to flag to a care team</t>
  </si>
  <si>
    <t xml:space="preserve">SZ015</t>
  </si>
  <si>
    <t xml:space="preserve">Disorganized Thinking &amp; Speech</t>
  </si>
  <si>
    <t xml:space="preserve">Thoughts felt jumbled or hard to follow</t>
  </si>
  <si>
    <t xml:space="preserve">DSM-5 criterion A: disorganized thinking; NIMH: unusual or illogical thinking</t>
  </si>
  <si>
    <t xml:space="preserve">SZ016</t>
  </si>
  <si>
    <t xml:space="preserve">Lost my train of thought partway through a sentence</t>
  </si>
  <si>
    <t xml:space="preserve">Not at all | Sometimes | Often | Very often</t>
  </si>
  <si>
    <t xml:space="preserve">NIMH thought disorder: stopping mid-thought</t>
  </si>
  <si>
    <t xml:space="preserve">SZ017</t>
  </si>
  <si>
    <t xml:space="preserve">Jumped between unrelated topics when talking</t>
  </si>
  <si>
    <t xml:space="preserve">NIMH thought disorder: jumping between topics (derailment)</t>
  </si>
  <si>
    <t xml:space="preserve">SZ018</t>
  </si>
  <si>
    <t xml:space="preserve">Someone said I was hard to understand</t>
  </si>
  <si>
    <t xml:space="preserve">DSM-5 criterion A: disorganized speech; NIMH: confused speech</t>
  </si>
  <si>
    <t xml:space="preserve">SZ019</t>
  </si>
  <si>
    <t xml:space="preserve">Used words that don't make sense, or made-up words</t>
  </si>
  <si>
    <t xml:space="preserve">NIMH thought disorder: making up meaningless words</t>
  </si>
  <si>
    <t xml:space="preserve">SZ020</t>
  </si>
  <si>
    <t xml:space="preserve">Disorganized or Unusual Behavior</t>
  </si>
  <si>
    <t xml:space="preserve">Acted in a way that didn't fit the situation</t>
  </si>
  <si>
    <t xml:space="preserve">NIMH psychosis: inappropriate behavior; DSM-5: grossly disorganized behavior</t>
  </si>
  <si>
    <t xml:space="preserve">SZ021</t>
  </si>
  <si>
    <t xml:space="preserve">Unusual agitation, pacing, or being unable to settle</t>
  </si>
  <si>
    <t xml:space="preserve">DSM-5 criterion A: disorganized or catatonic behavior</t>
  </si>
  <si>
    <t xml:space="preserve">SZ022</t>
  </si>
  <si>
    <t xml:space="preserve">Stayed still or stopped talking for a long stretch</t>
  </si>
  <si>
    <t xml:space="preserve">NIMH: catatonia (rare, extreme). A person who cannot be roused or is not eating or drinking needs urgent medical care</t>
  </si>
  <si>
    <t xml:space="preserve">SZ023</t>
  </si>
  <si>
    <t xml:space="preserve">Negative: Motivation &amp; Pleasure</t>
  </si>
  <si>
    <t xml:space="preserve">Little motivation to start daily activities</t>
  </si>
  <si>
    <t xml:space="preserve">DSM-5 negative symptoms: avolition</t>
  </si>
  <si>
    <t xml:space="preserve">SZ024</t>
  </si>
  <si>
    <t xml:space="preserve">Trouble planning and sticking with routines (shopping, chores)</t>
  </si>
  <si>
    <t xml:space="preserve">NIMH negative symptoms: trouble with routines</t>
  </si>
  <si>
    <t xml:space="preserve">SZ025</t>
  </si>
  <si>
    <t xml:space="preserve">Little enjoyment from things I usually like</t>
  </si>
  <si>
    <t xml:space="preserve">NIMH negative symptoms: reduced enjoyment; anhedonia</t>
  </si>
  <si>
    <t xml:space="preserve">SZ026</t>
  </si>
  <si>
    <t xml:space="preserve">Nothing to look forward to</t>
  </si>
  <si>
    <t xml:space="preserve">NIMH: difficulty anticipating everyday pleasures</t>
  </si>
  <si>
    <t xml:space="preserve">SZ027</t>
  </si>
  <si>
    <t xml:space="preserve">Skipped self-care (washing, eating, dressing)</t>
  </si>
  <si>
    <t xml:space="preserve">No | Skipped some | Skipped most</t>
  </si>
  <si>
    <t xml:space="preserve">NIMH early signs: neglecting self-care or personal hygiene</t>
  </si>
  <si>
    <t xml:space="preserve">SZ028</t>
  </si>
  <si>
    <t xml:space="preserve">Spent much of the day in passive activity</t>
  </si>
  <si>
    <t xml:space="preserve">NIMH negative symptoms: low energy, much time in passive activities</t>
  </si>
  <si>
    <t xml:space="preserve">SZ029</t>
  </si>
  <si>
    <t xml:space="preserve">Negative: Expression &amp; Social</t>
  </si>
  <si>
    <t xml:space="preserve">Spoke very little, or gave very short answers</t>
  </si>
  <si>
    <t xml:space="preserve">DSM-5 negative symptoms: alogia</t>
  </si>
  <si>
    <t xml:space="preserve">SZ030</t>
  </si>
  <si>
    <t xml:space="preserve">Felt emotionally flat or numb</t>
  </si>
  <si>
    <t xml:space="preserve">DSM-5 negative symptoms: diminished emotional expression</t>
  </si>
  <si>
    <t xml:space="preserve">SZ031</t>
  </si>
  <si>
    <t xml:space="preserve">Someone said my face or voice seemed flat</t>
  </si>
  <si>
    <t xml:space="preserve">NIMH: dull voice and little facial expression</t>
  </si>
  <si>
    <t xml:space="preserve">SZ032</t>
  </si>
  <si>
    <t xml:space="preserve">Avoided people or social contact</t>
  </si>
  <si>
    <t xml:space="preserve">NIMH negative symptoms: social withdrawal</t>
  </si>
  <si>
    <t xml:space="preserve">SZ033</t>
  </si>
  <si>
    <t xml:space="preserve">Felt awkward or disconnected in conversation</t>
  </si>
  <si>
    <t xml:space="preserve">NIMH: interacting in socially awkward ways</t>
  </si>
  <si>
    <t xml:space="preserve">SZ034</t>
  </si>
  <si>
    <t xml:space="preserve">Time spent with other people</t>
  </si>
  <si>
    <t xml:space="preserve">Descriptive; read alongside the social withdrawal items</t>
  </si>
  <si>
    <t xml:space="preserve">SZ035</t>
  </si>
  <si>
    <t xml:space="preserve">Cognitive Symptoms</t>
  </si>
  <si>
    <t xml:space="preserve">Trouble paying attention</t>
  </si>
  <si>
    <t xml:space="preserve">NIMH cognitive symptoms: attention</t>
  </si>
  <si>
    <t xml:space="preserve">SZ036</t>
  </si>
  <si>
    <t xml:space="preserve">Trouble following a conversation</t>
  </si>
  <si>
    <t xml:space="preserve">NIMH: can make it hard to follow a conversation</t>
  </si>
  <si>
    <t xml:space="preserve">SZ037</t>
  </si>
  <si>
    <t xml:space="preserve">Trouble remembering new information (appointments, instructions)</t>
  </si>
  <si>
    <t xml:space="preserve">NIMH cognitive symptoms: using information right after learning it</t>
  </si>
  <si>
    <t xml:space="preserve">SZ038</t>
  </si>
  <si>
    <t xml:space="preserve">Trouble making decisions</t>
  </si>
  <si>
    <t xml:space="preserve">NIMH cognitive symptoms: decision-making</t>
  </si>
  <si>
    <t xml:space="preserve">SZ039</t>
  </si>
  <si>
    <t xml:space="preserve">Trouble learning or taking in new things</t>
  </si>
  <si>
    <t xml:space="preserve">NIMH cognitive symptoms</t>
  </si>
  <si>
    <t xml:space="preserve">SZ040</t>
  </si>
  <si>
    <t xml:space="preserve">Mentally slow or foggy</t>
  </si>
  <si>
    <t xml:space="preserve">Commonly reported; not a DSM-5 criterion</t>
  </si>
  <si>
    <t xml:space="preserve">SZ041</t>
  </si>
  <si>
    <t xml:space="preserve">Mood, Anxiety &amp; Sleep</t>
  </si>
  <si>
    <t xml:space="preserve">Low mood or sadness</t>
  </si>
  <si>
    <t xml:space="preserve">Mood symptoms are common alongside schizophrenia</t>
  </si>
  <si>
    <t xml:space="preserve">SZ042</t>
  </si>
  <si>
    <t xml:space="preserve">Anxiety or fear</t>
  </si>
  <si>
    <t xml:space="preserve">NIMH: anxiety is often part of the early signs</t>
  </si>
  <si>
    <t xml:space="preserve">SZ043</t>
  </si>
  <si>
    <t xml:space="preserve">Irritability or anger</t>
  </si>
  <si>
    <t xml:space="preserve">Common; helps with pattern spotting</t>
  </si>
  <si>
    <t xml:space="preserve">SZ044</t>
  </si>
  <si>
    <t xml:space="preserve">Trouble falling or staying asleep</t>
  </si>
  <si>
    <t xml:space="preserve">NIMH early signs: changes in sleep</t>
  </si>
  <si>
    <t xml:space="preserve">SZ045</t>
  </si>
  <si>
    <t xml:space="preserve">Descriptive</t>
  </si>
  <si>
    <t xml:space="preserve">SZ046</t>
  </si>
  <si>
    <t xml:space="preserve">SZ047</t>
  </si>
  <si>
    <t xml:space="preserve">Early Warning Signs</t>
  </si>
  <si>
    <t xml:space="preserve">More suspicious or uneasy around others than usual</t>
  </si>
  <si>
    <t xml:space="preserve">NIMH early warning signs: growing suspicion, discomfort around others</t>
  </si>
  <si>
    <t xml:space="preserve">SZ048</t>
  </si>
  <si>
    <t xml:space="preserve">Things felt strange, unreal, or different from usual</t>
  </si>
  <si>
    <t xml:space="preserve">Commonly reported before a relapse; useful for pattern spotting</t>
  </si>
  <si>
    <t xml:space="preserve">SZ049</t>
  </si>
  <si>
    <t xml:space="preserve">Pulled away from family or friends more than usual</t>
  </si>
  <si>
    <t xml:space="preserve">NIMH early warning signs: spending much more time alone</t>
  </si>
  <si>
    <t xml:space="preserve">SZ050</t>
  </si>
  <si>
    <t xml:space="preserve">Struggled much more than usual with work, school, or daily tasks</t>
  </si>
  <si>
    <t xml:space="preserve">NIMH early warning signs: sudden decline in performance or functioning</t>
  </si>
  <si>
    <t xml:space="preserve">SZ051</t>
  </si>
  <si>
    <t xml:space="preserve">Someone close to me said I seemed different or unlike myself</t>
  </si>
  <si>
    <t xml:space="preserve">Others often notice changes first. Same item idea as in the bipolar list</t>
  </si>
  <si>
    <t xml:space="preserve">SZ052</t>
  </si>
  <si>
    <t xml:space="preserve">Safety Check-in</t>
  </si>
  <si>
    <t xml:space="preserve">Voices or thoughts told me to harm myself or someone else</t>
  </si>
  <si>
    <t xml:space="preserve">No | Yes, I could ignore them | Yes, hard to ignore</t>
  </si>
  <si>
    <t xml:space="preserve">Higher = more concerning</t>
  </si>
  <si>
    <t xml:space="preserve">Command hallucinations are a recognized risk marker. If anything other than 'No' is chosen, the app should show crisis resources (US: call or text 988) rather than only logging it. Not a substitute for care</t>
  </si>
  <si>
    <t xml:space="preserve">SZ053</t>
  </si>
  <si>
    <t xml:space="preserve">Thoughts of death, or of harming myself</t>
  </si>
  <si>
    <t xml:space="preserve">None | Passing | Frequent | Strong, or with a plan</t>
  </si>
  <si>
    <t xml:space="preserve">Standard item in mood tracking. If anything other than 'None' is chosen, the app should show crisis resources (US: call or text 988) rather than only logging it. Not a substitute for care</t>
  </si>
  <si>
    <t xml:space="preserve">SZ054</t>
  </si>
  <si>
    <t xml:space="preserve">Context &amp; Treatment</t>
  </si>
  <si>
    <t xml:space="preserve">Missed medication is a common relapse factor; only relevant if the user has a medication plan</t>
  </si>
  <si>
    <t xml:space="preserve">SZ055</t>
  </si>
  <si>
    <t xml:space="preserve">Alcohol, cannabis, or other substances today</t>
  </si>
  <si>
    <t xml:space="preserve">Substance use can trigger or worsen psychosis; worth tracking honestly</t>
  </si>
  <si>
    <t xml:space="preserve">SZ056</t>
  </si>
  <si>
    <t xml:space="preserve">Context item; stress can worsen symptoms</t>
  </si>
  <si>
    <t xml:space="preserve">SZ057</t>
  </si>
  <si>
    <t xml:space="preserve">Kept a regular routine (meals, wake and sleep times)</t>
  </si>
  <si>
    <t xml:space="preserve">Not at all | Somewhat | Mostly | Fully</t>
  </si>
  <si>
    <t xml:space="preserve">Context item; routine is often protective</t>
  </si>
  <si>
    <t xml:space="preserve">SZ058</t>
  </si>
  <si>
    <t xml:space="preserve">SZ059</t>
  </si>
  <si>
    <t xml:space="preserve">Used a coping tool (grounding, music, walk, call someone)</t>
  </si>
  <si>
    <t xml:space="preserve">SZ060</t>
  </si>
  <si>
    <t xml:space="preserve">Contact with a support person or care team</t>
  </si>
  <si>
    <t xml:space="preserve">Context item</t>
  </si>
  <si>
    <t xml:space="preserve">SZ061</t>
  </si>
  <si>
    <t xml:space="preserve">Overall symptom burden today</t>
  </si>
  <si>
    <t xml:space="preserve">SZ062</t>
  </si>
  <si>
    <t xml:space="preserve">Overall functioning today (work, home, relationships)</t>
  </si>
  <si>
    <t xml:space="preserve">SZ063</t>
  </si>
  <si>
    <t xml:space="preserve">DP001</t>
  </si>
  <si>
    <t xml:space="preserve">Depressed Mood</t>
  </si>
  <si>
    <t xml:space="preserve">Felt sad, down, or empty</t>
  </si>
  <si>
    <t xml:space="preserve">DSM-5 MDD criterion 1: depressed mood; NIMH: persistent sad, anxious, or 'empty' mood</t>
  </si>
  <si>
    <t xml:space="preserve">DP002</t>
  </si>
  <si>
    <t xml:space="preserve">Low mood lasted</t>
  </si>
  <si>
    <t xml:space="preserve">Not at all | Part of the day | Most of the day | All day</t>
  </si>
  <si>
    <t xml:space="preserve">DSM-5 requires depressed mood most of the day, nearly every day, for 2 weeks; this is a daily proxy</t>
  </si>
  <si>
    <t xml:space="preserve">DP003</t>
  </si>
  <si>
    <t xml:space="preserve">Tearful or close to tears</t>
  </si>
  <si>
    <t xml:space="preserve">DSM-5 MDD: tearful appearance can show depressed mood</t>
  </si>
  <si>
    <t xml:space="preserve">DP004</t>
  </si>
  <si>
    <t xml:space="preserve">Felt numb or emotionally flat</t>
  </si>
  <si>
    <t xml:space="preserve">DP005</t>
  </si>
  <si>
    <t xml:space="preserve">Mood was worst in the</t>
  </si>
  <si>
    <t xml:space="preserve">No pattern | Morning | Afternoon | Evening</t>
  </si>
  <si>
    <t xml:space="preserve">Daily pattern (diurnal variation); descriptive, useful for pattern spotting</t>
  </si>
  <si>
    <t xml:space="preserve">DP006</t>
  </si>
  <si>
    <t xml:space="preserve">Loss of Interest &amp; Pleasure</t>
  </si>
  <si>
    <t xml:space="preserve">Little interest or pleasure in things I usually enjoy</t>
  </si>
  <si>
    <t xml:space="preserve">DSM-5 MDD criterion 2; NIMH: loss of interest or pleasure in hobbies and activities</t>
  </si>
  <si>
    <t xml:space="preserve">DP007</t>
  </si>
  <si>
    <t xml:space="preserve">Hard to get started on activities I normally like</t>
  </si>
  <si>
    <t xml:space="preserve">NIMH; anhedonia and low drive</t>
  </si>
  <si>
    <t xml:space="preserve">DP008</t>
  </si>
  <si>
    <t xml:space="preserve">Did something I normally enjoy</t>
  </si>
  <si>
    <t xml:space="preserve">Protective item; helps with behavioral activation</t>
  </si>
  <si>
    <t xml:space="preserve">DP009</t>
  </si>
  <si>
    <t xml:space="preserve">Less interest in sex or closeness</t>
  </si>
  <si>
    <t xml:space="preserve">NIMH: changes in sexual desire or performance</t>
  </si>
  <si>
    <t xml:space="preserve">DP010</t>
  </si>
  <si>
    <t xml:space="preserve">Guilt, Worthlessness &amp; Hopelessness</t>
  </si>
  <si>
    <t xml:space="preserve">Felt worthless or like a failure</t>
  </si>
  <si>
    <t xml:space="preserve">DSM-5 MDD criterion 7; NIMH: feelings of worthlessness</t>
  </si>
  <si>
    <t xml:space="preserve">DP011</t>
  </si>
  <si>
    <t xml:space="preserve">Felt excessive or unreasonable guilt</t>
  </si>
  <si>
    <t xml:space="preserve">DSM-5 MDD criterion 7: excessive or inappropriate guilt</t>
  </si>
  <si>
    <t xml:space="preserve">DP012</t>
  </si>
  <si>
    <t xml:space="preserve">Felt hopeless about the future</t>
  </si>
  <si>
    <t xml:space="preserve">NIMH: hopelessness or pessimism</t>
  </si>
  <si>
    <t xml:space="preserve">DP013</t>
  </si>
  <si>
    <t xml:space="preserve">Felt helpless</t>
  </si>
  <si>
    <t xml:space="preserve">NIMH: feelings of guilt, worthlessness, or helplessness</t>
  </si>
  <si>
    <t xml:space="preserve">DP014</t>
  </si>
  <si>
    <t xml:space="preserve">Harsh self-criticism</t>
  </si>
  <si>
    <t xml:space="preserve">Commonly reported; useful for pattern spotting</t>
  </si>
  <si>
    <t xml:space="preserve">DP015</t>
  </si>
  <si>
    <t xml:space="preserve">Felt like a burden to others</t>
  </si>
  <si>
    <t xml:space="preserve">Commonly reported; closely linked with suicide risk, so flag to a care team if it is high</t>
  </si>
  <si>
    <t xml:space="preserve">DP016</t>
  </si>
  <si>
    <t xml:space="preserve">Energy &amp; Movement</t>
  </si>
  <si>
    <t xml:space="preserve">Fatigue or low energy</t>
  </si>
  <si>
    <t xml:space="preserve">DSM-5 MDD criterion 6; NIMH</t>
  </si>
  <si>
    <t xml:space="preserve">DP017</t>
  </si>
  <si>
    <t xml:space="preserve">Everything felt like an effort</t>
  </si>
  <si>
    <t xml:space="preserve">Commonly reported</t>
  </si>
  <si>
    <t xml:space="preserve">DP018</t>
  </si>
  <si>
    <t xml:space="preserve">Felt slowed down (movement or speech)</t>
  </si>
  <si>
    <t xml:space="preserve">DSM-5 MDD criterion 5: psychomotor retardation; NIMH: feeling slowed down</t>
  </si>
  <si>
    <t xml:space="preserve">DP019</t>
  </si>
  <si>
    <t xml:space="preserve">Felt restless or unable to sit still</t>
  </si>
  <si>
    <t xml:space="preserve">DSM-5 MDD criterion 5: psychomotor agitation; NIMH: restlessness</t>
  </si>
  <si>
    <t xml:space="preserve">DP020</t>
  </si>
  <si>
    <t xml:space="preserve">Energy level</t>
  </si>
  <si>
    <t xml:space="preserve">0 = None, 10 = Very high</t>
  </si>
  <si>
    <t xml:space="preserve">DP021</t>
  </si>
  <si>
    <t xml:space="preserve">Concentration &amp; Decisions</t>
  </si>
  <si>
    <t xml:space="preserve">Trouble concentrating</t>
  </si>
  <si>
    <t xml:space="preserve">DSM-5 MDD criterion 8; NIMH</t>
  </si>
  <si>
    <t xml:space="preserve">DP022</t>
  </si>
  <si>
    <t xml:space="preserve">Trouble remembering things</t>
  </si>
  <si>
    <t xml:space="preserve">NIMH: trouble remembering</t>
  </si>
  <si>
    <t xml:space="preserve">DP023</t>
  </si>
  <si>
    <t xml:space="preserve">DSM-5 MDD criterion 8: indecisiveness; NIMH</t>
  </si>
  <si>
    <t xml:space="preserve">DP024</t>
  </si>
  <si>
    <t xml:space="preserve">Mind felt slow or foggy</t>
  </si>
  <si>
    <t xml:space="preserve">DP025</t>
  </si>
  <si>
    <t xml:space="preserve">Trouble falling asleep</t>
  </si>
  <si>
    <t xml:space="preserve">DSM-5 MDD criterion 4: insomnia; NIMH</t>
  </si>
  <si>
    <t xml:space="preserve">DP026</t>
  </si>
  <si>
    <t xml:space="preserve">Woke up too early or in the night</t>
  </si>
  <si>
    <t xml:space="preserve">No | Woke in the night | Woke too early | Both</t>
  </si>
  <si>
    <t xml:space="preserve">DSM-5: insomnia includes middle and early-morning waking</t>
  </si>
  <si>
    <t xml:space="preserve">DP027</t>
  </si>
  <si>
    <t xml:space="preserve">Slept too much, or hard to get out of bed</t>
  </si>
  <si>
    <t xml:space="preserve">DSM-5 MDD criterion 4: hypersomnia; NIMH: oversleeping</t>
  </si>
  <si>
    <t xml:space="preserve">DP028</t>
  </si>
  <si>
    <t xml:space="preserve">DP029</t>
  </si>
  <si>
    <t xml:space="preserve">DP030</t>
  </si>
  <si>
    <t xml:space="preserve">Appetite &amp; Weight</t>
  </si>
  <si>
    <t xml:space="preserve">Appetite</t>
  </si>
  <si>
    <t xml:space="preserve">Much less | Somewhat less | Normal | Somewhat more | Much more</t>
  </si>
  <si>
    <t xml:space="preserve">DSM-5 MDD criterion 3: appetite change in either direction; NIMH</t>
  </si>
  <si>
    <t xml:space="preserve">DP031</t>
  </si>
  <si>
    <t xml:space="preserve">Skipped meals because I had no appetite</t>
  </si>
  <si>
    <t xml:space="preserve">DSM-5 MDD criterion 3</t>
  </si>
  <si>
    <t xml:space="preserve">DP032</t>
  </si>
  <si>
    <t xml:space="preserve">Ate for comfort or overate</t>
  </si>
  <si>
    <t xml:space="preserve">DSM-5 MDD criterion 3: increased appetite</t>
  </si>
  <si>
    <t xml:space="preserve">DP033</t>
  </si>
  <si>
    <t xml:space="preserve">Unplanned weight change in recent weeks</t>
  </si>
  <si>
    <t xml:space="preserve">None | Loss | Gain</t>
  </si>
  <si>
    <t xml:space="preserve">DSM-5 MDD criterion 3; NIMH. Best asked weekly, not daily</t>
  </si>
  <si>
    <t xml:space="preserve">DP034</t>
  </si>
  <si>
    <t xml:space="preserve">Headache</t>
  </si>
  <si>
    <t xml:space="preserve">NIMH: aches or pains, headaches</t>
  </si>
  <si>
    <t xml:space="preserve">DP035</t>
  </si>
  <si>
    <t xml:space="preserve">Aches, pains, cramps, or digestive trouble with no clear cause</t>
  </si>
  <si>
    <t xml:space="preserve">NIMH: physical symptoms that don't improve with treatment</t>
  </si>
  <si>
    <t xml:space="preserve">DP036</t>
  </si>
  <si>
    <t xml:space="preserve">Body felt heavy</t>
  </si>
  <si>
    <t xml:space="preserve">Commonly reported (more typical of atypical depression); not a core DSM-5 criterion</t>
  </si>
  <si>
    <t xml:space="preserve">DP037</t>
  </si>
  <si>
    <t xml:space="preserve">Irritability &amp; Anxiety</t>
  </si>
  <si>
    <t xml:space="preserve">NIMH: irritability, frustration; DSM-5 allows irritable mood in children and adolescents</t>
  </si>
  <si>
    <t xml:space="preserve">DP038</t>
  </si>
  <si>
    <t xml:space="preserve">Anxious or on edge</t>
  </si>
  <si>
    <t xml:space="preserve">NIMH: persistent anxiety; DSM-5 'with anxious distress' specifier</t>
  </si>
  <si>
    <t xml:space="preserve">DP039</t>
  </si>
  <si>
    <t xml:space="preserve">Angry or snapped at people</t>
  </si>
  <si>
    <t xml:space="preserve">NIMH: more anger or irritability</t>
  </si>
  <si>
    <t xml:space="preserve">DP040</t>
  </si>
  <si>
    <t xml:space="preserve">Withdrawal &amp; Functioning</t>
  </si>
  <si>
    <t xml:space="preserve">Withdrew from or avoided people</t>
  </si>
  <si>
    <t xml:space="preserve">NIMH: isolating from family and friends</t>
  </si>
  <si>
    <t xml:space="preserve">DP041</t>
  </si>
  <si>
    <t xml:space="preserve">Cancelled or avoided plans</t>
  </si>
  <si>
    <t xml:space="preserve">DP042</t>
  </si>
  <si>
    <t xml:space="preserve">Neglected responsibilities (work, bills, chores)</t>
  </si>
  <si>
    <t xml:space="preserve">NIMH: neglecting responsibilities; DSM-5 requires impairment in functioning</t>
  </si>
  <si>
    <t xml:space="preserve">DP043</t>
  </si>
  <si>
    <t xml:space="preserve">Commonly reported in more severe episodes</t>
  </si>
  <si>
    <t xml:space="preserve">DP044</t>
  </si>
  <si>
    <t xml:space="preserve">Difficulty getting through usual tasks</t>
  </si>
  <si>
    <t xml:space="preserve">Daily functioning proxy</t>
  </si>
  <si>
    <t xml:space="preserve">DP045</t>
  </si>
  <si>
    <t xml:space="preserve">Standard item in mood tracking. If anything other than 'None' is chosen, the app should show crisis resources (US: call or text 988) rather than only logging it. Not a substitute for care. DSM-5 MDD criterion 9</t>
  </si>
  <si>
    <t xml:space="preserve">DP046</t>
  </si>
  <si>
    <t xml:space="preserve">DP047</t>
  </si>
  <si>
    <t xml:space="preserve">NIMH: increased alcohol or drug use can accompany depression</t>
  </si>
  <si>
    <t xml:space="preserve">DP048</t>
  </si>
  <si>
    <t xml:space="preserve">DP049</t>
  </si>
  <si>
    <t xml:space="preserve">Time outdoors / daylight</t>
  </si>
  <si>
    <t xml:space="preserve">DP050</t>
  </si>
  <si>
    <t xml:space="preserve">DP051</t>
  </si>
  <si>
    <t xml:space="preserve">DP052</t>
  </si>
  <si>
    <t xml:space="preserve">Context item. Read alongside the withdrawal items</t>
  </si>
  <si>
    <t xml:space="preserve">DP053</t>
  </si>
  <si>
    <t xml:space="preserve">Used a coping tool or reached out to someone</t>
  </si>
  <si>
    <t xml:space="preserve">DP054</t>
  </si>
  <si>
    <t xml:space="preserve">DP055</t>
  </si>
  <si>
    <t xml:space="preserve">DP056</t>
  </si>
  <si>
    <t xml:space="preserve">Symptom counts</t>
  </si>
  <si>
    <t xml:space="preserve">Anxiety</t>
  </si>
  <si>
    <t xml:space="preserve">By input type</t>
  </si>
  <si>
    <t xml:space="preserve">Count</t>
  </si>
  <si>
    <t xml:space="preserve">Total</t>
  </si>
  <si>
    <t xml:space="preserve">By category</t>
  </si>
  <si>
    <t xml:space="preserve">Schizophrenia</t>
  </si>
  <si>
    <t xml:space="preserve">Depression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</si>
</sst>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4"/>
      <name val="Arial"/>
      <family val="0"/>
      <charset val="1"/>
    </font>
    <font>
      <b val="true"/>
      <sz val="12"/>
      <color rgb="FF1F3864"/>
      <name val="Arial"/>
      <family val="0"/>
      <charset val="1"/>
    </font>
    <font>
      <b val="true"/>
      <sz val="10"/>
      <name val="Arial"/>
      <family val="0"/>
      <charset val="1"/>
    </font>
  </fonts>
  <fills count="16">
    <fill>
      <patternFill patternType="none"/>
    </fill>
    <fill>
      <patternFill patternType="gray125"/>
    </fill>
    <fill>
      <patternFill patternType="solid">
        <fgColor rgb="FF1F3864"/>
        <bgColor rgb="FF333333"/>
      </patternFill>
    </fill>
    <fill>
      <patternFill patternType="solid">
        <fgColor rgb="FFDDEBF7"/>
        <bgColor rgb="FFDAEEF3"/>
      </patternFill>
    </fill>
    <fill>
      <patternFill patternType="solid">
        <fgColor rgb="FFFFF2CC"/>
        <bgColor rgb="FFFCE4D6"/>
      </patternFill>
    </fill>
    <fill>
      <patternFill patternType="solid">
        <fgColor rgb="FFFCE4D6"/>
        <bgColor rgb="FFF2DCDB"/>
      </patternFill>
    </fill>
    <fill>
      <patternFill patternType="solid">
        <fgColor rgb="FFF2DCDB"/>
        <bgColor rgb="FFFCE4D6"/>
      </patternFill>
    </fill>
    <fill>
      <patternFill patternType="solid">
        <fgColor rgb="FFEADCF4"/>
        <bgColor rgb="FFE4DFEC"/>
      </patternFill>
    </fill>
    <fill>
      <patternFill patternType="solid">
        <fgColor rgb="FFE4DFEC"/>
        <bgColor rgb="FFEADCF4"/>
      </patternFill>
    </fill>
    <fill>
      <patternFill patternType="solid">
        <fgColor rgb="FFDAEEF3"/>
        <bgColor rgb="FFDDEBF7"/>
      </patternFill>
    </fill>
    <fill>
      <patternFill patternType="solid">
        <fgColor rgb="FFEDEDED"/>
        <bgColor rgb="FFE2EFDA"/>
      </patternFill>
    </fill>
    <fill>
      <patternFill patternType="solid">
        <fgColor rgb="FFE2EFDA"/>
        <bgColor rgb="FFEDEDED"/>
      </patternFill>
    </fill>
    <fill>
      <patternFill patternType="solid">
        <fgColor rgb="FFD9E1F2"/>
        <bgColor rgb="FFE4DFEC"/>
      </patternFill>
    </fill>
    <fill>
      <patternFill patternType="solid">
        <fgColor rgb="FFFFE699"/>
        <bgColor rgb="FFFFF2CC"/>
      </patternFill>
    </fill>
    <fill>
      <patternFill patternType="solid">
        <fgColor rgb="FFF8CBAD"/>
        <bgColor rgb="FFF2DCDB"/>
      </patternFill>
    </fill>
    <fill>
      <patternFill patternType="solid">
        <fgColor rgb="FFC6E0B4"/>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6" fillId="14" borderId="1" xfId="0" applyFont="true" applyBorder="true" applyAlignment="true" applyProtection="false">
      <alignment horizontal="general" vertical="top" textRotation="0" wrapText="true" indent="0" shrinkToFit="false"/>
      <protection locked="true" hidden="false"/>
    </xf>
    <xf numFmtId="164" fontId="6" fillId="1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4" fontId="6" fillId="11" borderId="1" xfId="0" applyFont="true" applyBorder="true" applyAlignment="false" applyProtection="false">
      <alignment horizontal="general" vertical="bottom" textRotation="0" wrapText="false" indent="0" shrinkToFit="false"/>
      <protection locked="true" hidden="false"/>
    </xf>
    <xf numFmtId="164" fontId="6" fillId="12" borderId="1" xfId="0" applyFont="true" applyBorder="true" applyAlignment="false" applyProtection="false">
      <alignment horizontal="general" vertical="bottom" textRotation="0" wrapText="false" indent="0" shrinkToFit="false"/>
      <protection locked="true" hidden="false"/>
    </xf>
    <xf numFmtId="164" fontId="6" fillId="13" borderId="1" xfId="0" applyFont="true" applyBorder="true" applyAlignment="false" applyProtection="false">
      <alignment horizontal="general" vertical="bottom" textRotation="0" wrapText="false" indent="0" shrinkToFit="false"/>
      <protection locked="true" hidden="false"/>
    </xf>
    <xf numFmtId="164" fontId="6" fillId="14" borderId="1" xfId="0" applyFont="true" applyBorder="true" applyAlignment="false" applyProtection="false">
      <alignment horizontal="general" vertical="bottom" textRotation="0" wrapText="false" indent="0" shrinkToFit="false"/>
      <protection locked="true" hidden="false"/>
    </xf>
    <xf numFmtId="164" fontId="6" fillId="1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AEE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ADCF4"/>
          <bgColor rgb="FF000000"/>
        </patternFill>
      </fill>
    </dxf>
    <dxf>
      <fill>
        <patternFill patternType="solid">
          <fgColor rgb="FFEDEDED"/>
          <bgColor rgb="FF000000"/>
        </patternFill>
      </fill>
    </dxf>
    <dxf>
      <fill>
        <patternFill patternType="solid">
          <fgColor rgb="FFF2DCDB"/>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6E0B4"/>
          <bgColor rgb="FF000000"/>
        </patternFill>
      </fill>
    </dxf>
  </dxfs>
  <colors>
    <indexedColors>
      <rgbColor rgb="FF000000"/>
      <rgbColor rgb="FFFFFFFF"/>
      <rgbColor rgb="FFFF0000"/>
      <rgbColor rgb="FF00FF00"/>
      <rgbColor rgb="FF0000FF"/>
      <rgbColor rgb="FFEDEDED"/>
      <rgbColor rgb="FFFF00FF"/>
      <rgbColor rgb="FF00FFFF"/>
      <rgbColor rgb="FF800000"/>
      <rgbColor rgb="FF008000"/>
      <rgbColor rgb="FF000080"/>
      <rgbColor rgb="FF808000"/>
      <rgbColor rgb="FF800080"/>
      <rgbColor rgb="FF008080"/>
      <rgbColor rgb="FFC6E0B4"/>
      <rgbColor rgb="FF808080"/>
      <rgbColor rgb="FFE4DFEC"/>
      <rgbColor rgb="FF993366"/>
      <rgbColor rgb="FFFFF2CC"/>
      <rgbColor rgb="FFDAEE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E2EFDA"/>
      <rgbColor rgb="FFFFE699"/>
      <rgbColor rgb="FFD9E1F2"/>
      <rgbColor rgb="FFF2DCDB"/>
      <rgbColor rgb="FFEADCF4"/>
      <rgbColor rgb="FFF8CBAD"/>
      <rgbColor rgb="FF3366FF"/>
      <rgbColor rgb="FF33CCCC"/>
      <rgbColor rgb="FF99CC00"/>
      <rgbColor rgb="FFFCE4D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3" customFormat="false" ht="15" hidden="false" customHeight="false" outlineLevel="0" collapsed="false">
      <c r="A3" s="2" t="s">
        <v>1</v>
      </c>
    </row>
    <row r="4" customFormat="false" ht="35.05" hidden="false" customHeight="false" outlineLevel="0" collapsed="false">
      <c r="A4" s="3" t="s">
        <v>2</v>
      </c>
    </row>
    <row r="6" customFormat="false" ht="15" hidden="false" customHeight="false" outlineLevel="0" collapsed="false">
      <c r="A6" s="2" t="s">
        <v>3</v>
      </c>
    </row>
    <row r="7" customFormat="false" ht="23.85" hidden="false" customHeight="false" outlineLevel="0" collapsed="false">
      <c r="A7" s="3" t="s">
        <v>4</v>
      </c>
    </row>
    <row r="8" customFormat="false" ht="23.85" hidden="false" customHeight="false" outlineLevel="0" collapsed="false">
      <c r="A8" s="3" t="s">
        <v>5</v>
      </c>
    </row>
    <row r="9" customFormat="false" ht="23.85" hidden="false" customHeight="false" outlineLevel="0" collapsed="false">
      <c r="A9" s="3" t="s">
        <v>6</v>
      </c>
    </row>
    <row r="10" customFormat="false" ht="15" hidden="false" customHeight="false" outlineLevel="0" collapsed="false">
      <c r="A10" s="3" t="s">
        <v>7</v>
      </c>
    </row>
    <row r="12" customFormat="false" ht="15" hidden="false" customHeight="false" outlineLevel="0" collapsed="false">
      <c r="A12" s="2" t="s">
        <v>8</v>
      </c>
    </row>
    <row r="13" customFormat="false" ht="23.85" hidden="false" customHeight="false" outlineLevel="0" collapsed="false">
      <c r="A13" s="3" t="s">
        <v>9</v>
      </c>
    </row>
    <row r="14" customFormat="false" ht="15" hidden="false" customHeight="false" outlineLevel="0" collapsed="false">
      <c r="A14" s="3" t="s">
        <v>10</v>
      </c>
    </row>
    <row r="15" customFormat="false" ht="23.85" hidden="false" customHeight="false" outlineLevel="0" collapsed="false">
      <c r="A15" s="3" t="s">
        <v>11</v>
      </c>
    </row>
    <row r="16" customFormat="false" ht="15" hidden="false" customHeight="false" outlineLevel="0" collapsed="false">
      <c r="A16" s="3" t="s">
        <v>12</v>
      </c>
    </row>
    <row r="18" customFormat="false" ht="15" hidden="false" customHeight="false" outlineLevel="0" collapsed="false">
      <c r="A18" s="2" t="s">
        <v>13</v>
      </c>
    </row>
    <row r="19" customFormat="false" ht="23.85" hidden="false" customHeight="false" outlineLevel="0" collapsed="false">
      <c r="A19" s="3" t="s">
        <v>14</v>
      </c>
    </row>
    <row r="20" customFormat="false" ht="35.05" hidden="false" customHeight="false" outlineLevel="0" collapsed="false">
      <c r="A20" s="3" t="s">
        <v>15</v>
      </c>
    </row>
    <row r="21" customFormat="false" ht="23.85" hidden="false" customHeight="false" outlineLevel="0" collapsed="false">
      <c r="A21" s="3" t="s">
        <v>16</v>
      </c>
    </row>
    <row r="22" customFormat="false" ht="23.85" hidden="false" customHeight="false" outlineLevel="0" collapsed="false">
      <c r="A22" s="3" t="s">
        <v>17</v>
      </c>
    </row>
    <row r="24" customFormat="false" ht="15" hidden="false" customHeight="false" outlineLevel="0" collapsed="false">
      <c r="A24" s="2" t="s">
        <v>18</v>
      </c>
    </row>
    <row r="25" customFormat="false" ht="35.05" hidden="false" customHeight="false" outlineLevel="0" collapsed="false">
      <c r="A25" s="3" t="s">
        <v>19</v>
      </c>
    </row>
    <row r="26" customFormat="false" ht="23.85" hidden="false" customHeight="false" outlineLevel="0" collapsed="false">
      <c r="A26"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52"/>
    <col collapsed="false" customWidth="true" hidden="false" outlineLevel="0" max="4" min="4" style="0" width="13"/>
    <col collapsed="false" customWidth="true" hidden="false" outlineLevel="0" max="5" min="5" style="0" width="48"/>
    <col collapsed="false" customWidth="true" hidden="false" outlineLevel="0" max="6" min="6" style="0" width="24"/>
    <col collapsed="false" customWidth="true" hidden="false" outlineLevel="0" max="7" min="7" style="0" width="58"/>
  </cols>
  <sheetData>
    <row r="1" customFormat="false" ht="30" hidden="false" customHeight="true" outlineLevel="0" collapsed="false">
      <c r="A1" s="4" t="s">
        <v>21</v>
      </c>
      <c r="B1" s="4" t="s">
        <v>22</v>
      </c>
      <c r="C1" s="4" t="s">
        <v>23</v>
      </c>
      <c r="D1" s="4" t="s">
        <v>24</v>
      </c>
      <c r="E1" s="4" t="s">
        <v>25</v>
      </c>
      <c r="F1" s="4" t="s">
        <v>26</v>
      </c>
      <c r="G1" s="4" t="s">
        <v>27</v>
      </c>
    </row>
    <row r="2" customFormat="false" ht="23.85" hidden="false" customHeight="false" outlineLevel="0" collapsed="false">
      <c r="A2" s="5" t="s">
        <v>28</v>
      </c>
      <c r="B2" s="6" t="s">
        <v>29</v>
      </c>
      <c r="C2" s="5" t="s">
        <v>30</v>
      </c>
      <c r="D2" s="5" t="s">
        <v>31</v>
      </c>
      <c r="E2" s="5" t="s">
        <v>32</v>
      </c>
      <c r="F2" s="5" t="s">
        <v>33</v>
      </c>
      <c r="G2" s="5" t="s">
        <v>34</v>
      </c>
    </row>
    <row r="3" customFormat="false" ht="15" hidden="false" customHeight="false" outlineLevel="0" collapsed="false">
      <c r="A3" s="5" t="s">
        <v>35</v>
      </c>
      <c r="B3" s="6" t="s">
        <v>29</v>
      </c>
      <c r="C3" s="5" t="s">
        <v>36</v>
      </c>
      <c r="D3" s="5" t="s">
        <v>31</v>
      </c>
      <c r="E3" s="5" t="s">
        <v>32</v>
      </c>
      <c r="F3" s="5" t="s">
        <v>33</v>
      </c>
      <c r="G3" s="5" t="s">
        <v>37</v>
      </c>
    </row>
    <row r="4" customFormat="false" ht="15" hidden="false" customHeight="false" outlineLevel="0" collapsed="false">
      <c r="A4" s="5" t="s">
        <v>38</v>
      </c>
      <c r="B4" s="6" t="s">
        <v>29</v>
      </c>
      <c r="C4" s="5" t="s">
        <v>39</v>
      </c>
      <c r="D4" s="5" t="s">
        <v>40</v>
      </c>
      <c r="E4" s="5" t="s">
        <v>41</v>
      </c>
      <c r="F4" s="5" t="s">
        <v>33</v>
      </c>
      <c r="G4" s="5" t="s">
        <v>42</v>
      </c>
    </row>
    <row r="5" customFormat="false" ht="15" hidden="false" customHeight="false" outlineLevel="0" collapsed="false">
      <c r="A5" s="5" t="s">
        <v>43</v>
      </c>
      <c r="B5" s="6" t="s">
        <v>29</v>
      </c>
      <c r="C5" s="5" t="s">
        <v>44</v>
      </c>
      <c r="D5" s="5" t="s">
        <v>31</v>
      </c>
      <c r="E5" s="5" t="s">
        <v>32</v>
      </c>
      <c r="F5" s="5" t="s">
        <v>33</v>
      </c>
      <c r="G5" s="5" t="s">
        <v>45</v>
      </c>
    </row>
    <row r="6" customFormat="false" ht="23.85" hidden="false" customHeight="false" outlineLevel="0" collapsed="false">
      <c r="A6" s="5" t="s">
        <v>46</v>
      </c>
      <c r="B6" s="6" t="s">
        <v>29</v>
      </c>
      <c r="C6" s="5" t="s">
        <v>47</v>
      </c>
      <c r="D6" s="5" t="s">
        <v>31</v>
      </c>
      <c r="E6" s="5" t="s">
        <v>32</v>
      </c>
      <c r="F6" s="5" t="s">
        <v>33</v>
      </c>
      <c r="G6" s="5" t="s">
        <v>48</v>
      </c>
    </row>
    <row r="7" customFormat="false" ht="23.85" hidden="false" customHeight="false" outlineLevel="0" collapsed="false">
      <c r="A7" s="5" t="s">
        <v>49</v>
      </c>
      <c r="B7" s="6" t="s">
        <v>29</v>
      </c>
      <c r="C7" s="5" t="s">
        <v>50</v>
      </c>
      <c r="D7" s="5" t="s">
        <v>31</v>
      </c>
      <c r="E7" s="5" t="s">
        <v>32</v>
      </c>
      <c r="F7" s="5" t="s">
        <v>33</v>
      </c>
      <c r="G7" s="5" t="s">
        <v>51</v>
      </c>
    </row>
    <row r="8" customFormat="false" ht="15" hidden="false" customHeight="false" outlineLevel="0" collapsed="false">
      <c r="A8" s="5" t="s">
        <v>52</v>
      </c>
      <c r="B8" s="6" t="s">
        <v>29</v>
      </c>
      <c r="C8" s="5" t="s">
        <v>53</v>
      </c>
      <c r="D8" s="5" t="s">
        <v>31</v>
      </c>
      <c r="E8" s="5" t="s">
        <v>32</v>
      </c>
      <c r="F8" s="5" t="s">
        <v>33</v>
      </c>
      <c r="G8" s="5" t="s">
        <v>54</v>
      </c>
    </row>
    <row r="9" customFormat="false" ht="15" hidden="false" customHeight="false" outlineLevel="0" collapsed="false">
      <c r="A9" s="5" t="s">
        <v>55</v>
      </c>
      <c r="B9" s="7" t="s">
        <v>56</v>
      </c>
      <c r="C9" s="5" t="s">
        <v>57</v>
      </c>
      <c r="D9" s="5" t="s">
        <v>31</v>
      </c>
      <c r="E9" s="5" t="s">
        <v>32</v>
      </c>
      <c r="F9" s="5" t="s">
        <v>33</v>
      </c>
      <c r="G9" s="5" t="s">
        <v>58</v>
      </c>
    </row>
    <row r="10" customFormat="false" ht="15" hidden="false" customHeight="false" outlineLevel="0" collapsed="false">
      <c r="A10" s="5" t="s">
        <v>59</v>
      </c>
      <c r="B10" s="7" t="s">
        <v>56</v>
      </c>
      <c r="C10" s="5" t="s">
        <v>60</v>
      </c>
      <c r="D10" s="5" t="s">
        <v>31</v>
      </c>
      <c r="E10" s="5" t="s">
        <v>32</v>
      </c>
      <c r="F10" s="5" t="s">
        <v>33</v>
      </c>
      <c r="G10" s="5" t="s">
        <v>61</v>
      </c>
    </row>
    <row r="11" customFormat="false" ht="15" hidden="false" customHeight="false" outlineLevel="0" collapsed="false">
      <c r="A11" s="5" t="s">
        <v>62</v>
      </c>
      <c r="B11" s="7" t="s">
        <v>56</v>
      </c>
      <c r="C11" s="5" t="s">
        <v>63</v>
      </c>
      <c r="D11" s="5" t="s">
        <v>31</v>
      </c>
      <c r="E11" s="5" t="s">
        <v>32</v>
      </c>
      <c r="F11" s="5" t="s">
        <v>33</v>
      </c>
      <c r="G11" s="5" t="s">
        <v>58</v>
      </c>
    </row>
    <row r="12" customFormat="false" ht="15" hidden="false" customHeight="false" outlineLevel="0" collapsed="false">
      <c r="A12" s="5" t="s">
        <v>64</v>
      </c>
      <c r="B12" s="7" t="s">
        <v>56</v>
      </c>
      <c r="C12" s="5" t="s">
        <v>65</v>
      </c>
      <c r="D12" s="5" t="s">
        <v>31</v>
      </c>
      <c r="E12" s="5" t="s">
        <v>32</v>
      </c>
      <c r="F12" s="5" t="s">
        <v>33</v>
      </c>
      <c r="G12" s="5" t="s">
        <v>66</v>
      </c>
    </row>
    <row r="13" customFormat="false" ht="15" hidden="false" customHeight="false" outlineLevel="0" collapsed="false">
      <c r="A13" s="5" t="s">
        <v>67</v>
      </c>
      <c r="B13" s="7" t="s">
        <v>56</v>
      </c>
      <c r="C13" s="5" t="s">
        <v>68</v>
      </c>
      <c r="D13" s="5" t="s">
        <v>31</v>
      </c>
      <c r="E13" s="5" t="s">
        <v>32</v>
      </c>
      <c r="F13" s="5" t="s">
        <v>33</v>
      </c>
      <c r="G13" s="5" t="s">
        <v>69</v>
      </c>
    </row>
    <row r="14" customFormat="false" ht="15" hidden="false" customHeight="false" outlineLevel="0" collapsed="false">
      <c r="A14" s="5" t="s">
        <v>70</v>
      </c>
      <c r="B14" s="7" t="s">
        <v>56</v>
      </c>
      <c r="C14" s="5" t="s">
        <v>71</v>
      </c>
      <c r="D14" s="5" t="s">
        <v>31</v>
      </c>
      <c r="E14" s="5" t="s">
        <v>32</v>
      </c>
      <c r="F14" s="5" t="s">
        <v>33</v>
      </c>
      <c r="G14" s="5" t="s">
        <v>72</v>
      </c>
    </row>
    <row r="15" customFormat="false" ht="15" hidden="false" customHeight="false" outlineLevel="0" collapsed="false">
      <c r="A15" s="5" t="s">
        <v>73</v>
      </c>
      <c r="B15" s="8" t="s">
        <v>74</v>
      </c>
      <c r="C15" s="5" t="s">
        <v>75</v>
      </c>
      <c r="D15" s="5" t="s">
        <v>31</v>
      </c>
      <c r="E15" s="5" t="s">
        <v>32</v>
      </c>
      <c r="F15" s="5" t="s">
        <v>33</v>
      </c>
      <c r="G15" s="5" t="s">
        <v>76</v>
      </c>
    </row>
    <row r="16" customFormat="false" ht="15" hidden="false" customHeight="false" outlineLevel="0" collapsed="false">
      <c r="A16" s="5" t="s">
        <v>77</v>
      </c>
      <c r="B16" s="8" t="s">
        <v>74</v>
      </c>
      <c r="C16" s="5" t="s">
        <v>78</v>
      </c>
      <c r="D16" s="5" t="s">
        <v>31</v>
      </c>
      <c r="E16" s="5" t="s">
        <v>32</v>
      </c>
      <c r="F16" s="5" t="s">
        <v>33</v>
      </c>
      <c r="G16" s="5" t="s">
        <v>79</v>
      </c>
    </row>
    <row r="17" customFormat="false" ht="15" hidden="false" customHeight="false" outlineLevel="0" collapsed="false">
      <c r="A17" s="5" t="s">
        <v>80</v>
      </c>
      <c r="B17" s="8" t="s">
        <v>74</v>
      </c>
      <c r="C17" s="5" t="s">
        <v>81</v>
      </c>
      <c r="D17" s="5" t="s">
        <v>31</v>
      </c>
      <c r="E17" s="5" t="s">
        <v>32</v>
      </c>
      <c r="F17" s="5" t="s">
        <v>33</v>
      </c>
      <c r="G17" s="5" t="s">
        <v>82</v>
      </c>
    </row>
    <row r="18" customFormat="false" ht="15" hidden="false" customHeight="false" outlineLevel="0" collapsed="false">
      <c r="A18" s="5" t="s">
        <v>83</v>
      </c>
      <c r="B18" s="8" t="s">
        <v>74</v>
      </c>
      <c r="C18" s="5" t="s">
        <v>84</v>
      </c>
      <c r="D18" s="5" t="s">
        <v>31</v>
      </c>
      <c r="E18" s="5" t="s">
        <v>32</v>
      </c>
      <c r="F18" s="5" t="s">
        <v>33</v>
      </c>
      <c r="G18" s="5" t="s">
        <v>82</v>
      </c>
    </row>
    <row r="19" customFormat="false" ht="15" hidden="false" customHeight="false" outlineLevel="0" collapsed="false">
      <c r="A19" s="5" t="s">
        <v>85</v>
      </c>
      <c r="B19" s="8" t="s">
        <v>74</v>
      </c>
      <c r="C19" s="5" t="s">
        <v>86</v>
      </c>
      <c r="D19" s="5" t="s">
        <v>31</v>
      </c>
      <c r="E19" s="5" t="s">
        <v>32</v>
      </c>
      <c r="F19" s="5" t="s">
        <v>33</v>
      </c>
      <c r="G19" s="5" t="s">
        <v>87</v>
      </c>
    </row>
    <row r="20" customFormat="false" ht="15" hidden="false" customHeight="false" outlineLevel="0" collapsed="false">
      <c r="A20" s="5" t="s">
        <v>88</v>
      </c>
      <c r="B20" s="8" t="s">
        <v>74</v>
      </c>
      <c r="C20" s="5" t="s">
        <v>89</v>
      </c>
      <c r="D20" s="5" t="s">
        <v>31</v>
      </c>
      <c r="E20" s="5" t="s">
        <v>32</v>
      </c>
      <c r="F20" s="5" t="s">
        <v>33</v>
      </c>
      <c r="G20" s="5" t="s">
        <v>90</v>
      </c>
    </row>
    <row r="21" customFormat="false" ht="15" hidden="false" customHeight="false" outlineLevel="0" collapsed="false">
      <c r="A21" s="5" t="s">
        <v>91</v>
      </c>
      <c r="B21" s="8" t="s">
        <v>74</v>
      </c>
      <c r="C21" s="5" t="s">
        <v>92</v>
      </c>
      <c r="D21" s="5" t="s">
        <v>31</v>
      </c>
      <c r="E21" s="5" t="s">
        <v>32</v>
      </c>
      <c r="F21" s="5" t="s">
        <v>33</v>
      </c>
      <c r="G21" s="5" t="s">
        <v>87</v>
      </c>
    </row>
    <row r="22" customFormat="false" ht="15" hidden="false" customHeight="false" outlineLevel="0" collapsed="false">
      <c r="A22" s="5" t="s">
        <v>93</v>
      </c>
      <c r="B22" s="8" t="s">
        <v>74</v>
      </c>
      <c r="C22" s="5" t="s">
        <v>94</v>
      </c>
      <c r="D22" s="5" t="s">
        <v>95</v>
      </c>
      <c r="E22" s="5" t="s">
        <v>96</v>
      </c>
      <c r="F22" s="5" t="s">
        <v>33</v>
      </c>
      <c r="G22" s="5" t="s">
        <v>97</v>
      </c>
    </row>
    <row r="23" customFormat="false" ht="23.85" hidden="false" customHeight="false" outlineLevel="0" collapsed="false">
      <c r="A23" s="5" t="s">
        <v>98</v>
      </c>
      <c r="B23" s="9" t="s">
        <v>99</v>
      </c>
      <c r="C23" s="5" t="s">
        <v>100</v>
      </c>
      <c r="D23" s="5" t="s">
        <v>95</v>
      </c>
      <c r="E23" s="5" t="s">
        <v>96</v>
      </c>
      <c r="F23" s="5" t="s">
        <v>33</v>
      </c>
      <c r="G23" s="5" t="s">
        <v>101</v>
      </c>
    </row>
    <row r="24" customFormat="false" ht="15" hidden="false" customHeight="false" outlineLevel="0" collapsed="false">
      <c r="A24" s="5" t="s">
        <v>102</v>
      </c>
      <c r="B24" s="9" t="s">
        <v>99</v>
      </c>
      <c r="C24" s="5" t="s">
        <v>103</v>
      </c>
      <c r="D24" s="5" t="s">
        <v>31</v>
      </c>
      <c r="E24" s="5" t="s">
        <v>32</v>
      </c>
      <c r="F24" s="5" t="s">
        <v>33</v>
      </c>
      <c r="G24" s="5" t="s">
        <v>104</v>
      </c>
    </row>
    <row r="25" customFormat="false" ht="15" hidden="false" customHeight="false" outlineLevel="0" collapsed="false">
      <c r="A25" s="5" t="s">
        <v>105</v>
      </c>
      <c r="B25" s="9" t="s">
        <v>99</v>
      </c>
      <c r="C25" s="5" t="s">
        <v>106</v>
      </c>
      <c r="D25" s="5" t="s">
        <v>31</v>
      </c>
      <c r="E25" s="5" t="s">
        <v>32</v>
      </c>
      <c r="F25" s="5" t="s">
        <v>33</v>
      </c>
      <c r="G25" s="5" t="s">
        <v>107</v>
      </c>
    </row>
    <row r="26" customFormat="false" ht="15" hidden="false" customHeight="false" outlineLevel="0" collapsed="false">
      <c r="A26" s="5" t="s">
        <v>108</v>
      </c>
      <c r="B26" s="9" t="s">
        <v>99</v>
      </c>
      <c r="C26" s="5" t="s">
        <v>109</v>
      </c>
      <c r="D26" s="5" t="s">
        <v>31</v>
      </c>
      <c r="E26" s="5" t="s">
        <v>32</v>
      </c>
      <c r="F26" s="5" t="s">
        <v>33</v>
      </c>
      <c r="G26" s="5" t="s">
        <v>110</v>
      </c>
    </row>
    <row r="27" customFormat="false" ht="23.85" hidden="false" customHeight="false" outlineLevel="0" collapsed="false">
      <c r="A27" s="5" t="s">
        <v>111</v>
      </c>
      <c r="B27" s="9" t="s">
        <v>99</v>
      </c>
      <c r="C27" s="5" t="s">
        <v>112</v>
      </c>
      <c r="D27" s="5" t="s">
        <v>31</v>
      </c>
      <c r="E27" s="5" t="s">
        <v>32</v>
      </c>
      <c r="F27" s="5" t="s">
        <v>33</v>
      </c>
      <c r="G27" s="5" t="s">
        <v>113</v>
      </c>
    </row>
    <row r="28" customFormat="false" ht="15" hidden="false" customHeight="false" outlineLevel="0" collapsed="false">
      <c r="A28" s="5" t="s">
        <v>114</v>
      </c>
      <c r="B28" s="9" t="s">
        <v>99</v>
      </c>
      <c r="C28" s="5" t="s">
        <v>115</v>
      </c>
      <c r="D28" s="5" t="s">
        <v>95</v>
      </c>
      <c r="E28" s="5" t="s">
        <v>96</v>
      </c>
      <c r="F28" s="5" t="s">
        <v>33</v>
      </c>
      <c r="G28" s="5" t="s">
        <v>116</v>
      </c>
    </row>
    <row r="29" customFormat="false" ht="15" hidden="false" customHeight="false" outlineLevel="0" collapsed="false">
      <c r="A29" s="5" t="s">
        <v>117</v>
      </c>
      <c r="B29" s="9" t="s">
        <v>99</v>
      </c>
      <c r="C29" s="5" t="s">
        <v>118</v>
      </c>
      <c r="D29" s="5" t="s">
        <v>95</v>
      </c>
      <c r="E29" s="5" t="s">
        <v>96</v>
      </c>
      <c r="F29" s="5" t="s">
        <v>33</v>
      </c>
      <c r="G29" s="5" t="s">
        <v>119</v>
      </c>
    </row>
    <row r="30" customFormat="false" ht="15" hidden="false" customHeight="false" outlineLevel="0" collapsed="false">
      <c r="A30" s="5" t="s">
        <v>120</v>
      </c>
      <c r="B30" s="9" t="s">
        <v>99</v>
      </c>
      <c r="C30" s="5" t="s">
        <v>121</v>
      </c>
      <c r="D30" s="5" t="s">
        <v>95</v>
      </c>
      <c r="E30" s="5" t="s">
        <v>96</v>
      </c>
      <c r="F30" s="5" t="s">
        <v>33</v>
      </c>
      <c r="G30" s="5" t="s">
        <v>122</v>
      </c>
    </row>
    <row r="31" customFormat="false" ht="15" hidden="false" customHeight="false" outlineLevel="0" collapsed="false">
      <c r="A31" s="5" t="s">
        <v>123</v>
      </c>
      <c r="B31" s="10" t="s">
        <v>124</v>
      </c>
      <c r="C31" s="5" t="s">
        <v>125</v>
      </c>
      <c r="D31" s="5" t="s">
        <v>31</v>
      </c>
      <c r="E31" s="5" t="s">
        <v>32</v>
      </c>
      <c r="F31" s="5" t="s">
        <v>33</v>
      </c>
      <c r="G31" s="5" t="s">
        <v>126</v>
      </c>
    </row>
    <row r="32" customFormat="false" ht="15" hidden="false" customHeight="false" outlineLevel="0" collapsed="false">
      <c r="A32" s="5" t="s">
        <v>127</v>
      </c>
      <c r="B32" s="10" t="s">
        <v>124</v>
      </c>
      <c r="C32" s="5" t="s">
        <v>128</v>
      </c>
      <c r="D32" s="5" t="s">
        <v>31</v>
      </c>
      <c r="E32" s="5" t="s">
        <v>32</v>
      </c>
      <c r="F32" s="5" t="s">
        <v>33</v>
      </c>
      <c r="G32" s="5" t="s">
        <v>129</v>
      </c>
    </row>
    <row r="33" customFormat="false" ht="15" hidden="false" customHeight="false" outlineLevel="0" collapsed="false">
      <c r="A33" s="5" t="s">
        <v>130</v>
      </c>
      <c r="B33" s="10" t="s">
        <v>124</v>
      </c>
      <c r="C33" s="5" t="s">
        <v>131</v>
      </c>
      <c r="D33" s="5" t="s">
        <v>31</v>
      </c>
      <c r="E33" s="5" t="s">
        <v>32</v>
      </c>
      <c r="F33" s="5" t="s">
        <v>33</v>
      </c>
      <c r="G33" s="5" t="s">
        <v>132</v>
      </c>
    </row>
    <row r="34" customFormat="false" ht="15" hidden="false" customHeight="false" outlineLevel="0" collapsed="false">
      <c r="A34" s="5" t="s">
        <v>133</v>
      </c>
      <c r="B34" s="10" t="s">
        <v>124</v>
      </c>
      <c r="C34" s="5" t="s">
        <v>134</v>
      </c>
      <c r="D34" s="5" t="s">
        <v>31</v>
      </c>
      <c r="E34" s="5" t="s">
        <v>32</v>
      </c>
      <c r="F34" s="5" t="s">
        <v>33</v>
      </c>
      <c r="G34" s="5" t="s">
        <v>135</v>
      </c>
    </row>
    <row r="35" customFormat="false" ht="15" hidden="false" customHeight="false" outlineLevel="0" collapsed="false">
      <c r="A35" s="5" t="s">
        <v>136</v>
      </c>
      <c r="B35" s="10" t="s">
        <v>124</v>
      </c>
      <c r="C35" s="5" t="s">
        <v>137</v>
      </c>
      <c r="D35" s="5" t="s">
        <v>31</v>
      </c>
      <c r="E35" s="5" t="s">
        <v>32</v>
      </c>
      <c r="F35" s="5" t="s">
        <v>33</v>
      </c>
      <c r="G35" s="5" t="s">
        <v>138</v>
      </c>
    </row>
    <row r="36" customFormat="false" ht="23.85" hidden="false" customHeight="false" outlineLevel="0" collapsed="false">
      <c r="A36" s="5" t="s">
        <v>139</v>
      </c>
      <c r="B36" s="11" t="s">
        <v>140</v>
      </c>
      <c r="C36" s="5" t="s">
        <v>141</v>
      </c>
      <c r="D36" s="5" t="s">
        <v>40</v>
      </c>
      <c r="E36" s="5" t="s">
        <v>142</v>
      </c>
      <c r="F36" s="5" t="s">
        <v>33</v>
      </c>
      <c r="G36" s="5" t="s">
        <v>143</v>
      </c>
    </row>
    <row r="37" customFormat="false" ht="15" hidden="false" customHeight="false" outlineLevel="0" collapsed="false">
      <c r="A37" s="5" t="s">
        <v>144</v>
      </c>
      <c r="B37" s="11" t="s">
        <v>140</v>
      </c>
      <c r="C37" s="5" t="s">
        <v>145</v>
      </c>
      <c r="D37" s="5" t="s">
        <v>95</v>
      </c>
      <c r="E37" s="5" t="s">
        <v>96</v>
      </c>
      <c r="F37" s="5" t="s">
        <v>33</v>
      </c>
      <c r="G37" s="5" t="s">
        <v>146</v>
      </c>
    </row>
    <row r="38" customFormat="false" ht="23.85" hidden="false" customHeight="false" outlineLevel="0" collapsed="false">
      <c r="A38" s="5" t="s">
        <v>147</v>
      </c>
      <c r="B38" s="11" t="s">
        <v>140</v>
      </c>
      <c r="C38" s="5" t="s">
        <v>148</v>
      </c>
      <c r="D38" s="5" t="s">
        <v>95</v>
      </c>
      <c r="E38" s="5" t="s">
        <v>96</v>
      </c>
      <c r="F38" s="5" t="s">
        <v>33</v>
      </c>
      <c r="G38" s="5" t="s">
        <v>149</v>
      </c>
    </row>
    <row r="39" customFormat="false" ht="23.85" hidden="false" customHeight="false" outlineLevel="0" collapsed="false">
      <c r="A39" s="5" t="s">
        <v>150</v>
      </c>
      <c r="B39" s="11" t="s">
        <v>140</v>
      </c>
      <c r="C39" s="5" t="s">
        <v>151</v>
      </c>
      <c r="D39" s="5" t="s">
        <v>95</v>
      </c>
      <c r="E39" s="5" t="s">
        <v>96</v>
      </c>
      <c r="F39" s="5" t="s">
        <v>33</v>
      </c>
      <c r="G39" s="5" t="s">
        <v>152</v>
      </c>
    </row>
    <row r="40" customFormat="false" ht="15" hidden="false" customHeight="false" outlineLevel="0" collapsed="false">
      <c r="A40" s="5" t="s">
        <v>153</v>
      </c>
      <c r="B40" s="11" t="s">
        <v>140</v>
      </c>
      <c r="C40" s="5" t="s">
        <v>154</v>
      </c>
      <c r="D40" s="5" t="s">
        <v>31</v>
      </c>
      <c r="E40" s="5" t="s">
        <v>32</v>
      </c>
      <c r="F40" s="5" t="s">
        <v>33</v>
      </c>
      <c r="G40" s="5" t="s">
        <v>155</v>
      </c>
    </row>
    <row r="41" customFormat="false" ht="15" hidden="false" customHeight="false" outlineLevel="0" collapsed="false">
      <c r="A41" s="5" t="s">
        <v>156</v>
      </c>
      <c r="B41" s="12" t="s">
        <v>157</v>
      </c>
      <c r="C41" s="5" t="s">
        <v>158</v>
      </c>
      <c r="D41" s="5" t="s">
        <v>31</v>
      </c>
      <c r="E41" s="5" t="s">
        <v>32</v>
      </c>
      <c r="F41" s="5" t="s">
        <v>33</v>
      </c>
      <c r="G41" s="5" t="s">
        <v>159</v>
      </c>
    </row>
    <row r="42" customFormat="false" ht="15" hidden="false" customHeight="false" outlineLevel="0" collapsed="false">
      <c r="A42" s="5" t="s">
        <v>160</v>
      </c>
      <c r="B42" s="12" t="s">
        <v>157</v>
      </c>
      <c r="C42" s="5" t="s">
        <v>161</v>
      </c>
      <c r="D42" s="5" t="s">
        <v>95</v>
      </c>
      <c r="E42" s="5" t="s">
        <v>96</v>
      </c>
      <c r="F42" s="5" t="s">
        <v>33</v>
      </c>
      <c r="G42" s="5" t="s">
        <v>162</v>
      </c>
    </row>
    <row r="43" customFormat="false" ht="15" hidden="false" customHeight="false" outlineLevel="0" collapsed="false">
      <c r="A43" s="5" t="s">
        <v>163</v>
      </c>
      <c r="B43" s="12" t="s">
        <v>157</v>
      </c>
      <c r="C43" s="5" t="s">
        <v>164</v>
      </c>
      <c r="D43" s="5" t="s">
        <v>40</v>
      </c>
      <c r="E43" s="5" t="s">
        <v>165</v>
      </c>
      <c r="F43" s="5" t="s">
        <v>166</v>
      </c>
      <c r="G43" s="5" t="s">
        <v>167</v>
      </c>
    </row>
    <row r="44" customFormat="false" ht="15" hidden="false" customHeight="false" outlineLevel="0" collapsed="false">
      <c r="A44" s="5" t="s">
        <v>168</v>
      </c>
      <c r="B44" s="12" t="s">
        <v>157</v>
      </c>
      <c r="C44" s="5" t="s">
        <v>169</v>
      </c>
      <c r="D44" s="5" t="s">
        <v>31</v>
      </c>
      <c r="E44" s="5" t="s">
        <v>170</v>
      </c>
      <c r="F44" s="5" t="s">
        <v>171</v>
      </c>
      <c r="G44" s="5" t="s">
        <v>172</v>
      </c>
    </row>
    <row r="45" customFormat="false" ht="23.85" hidden="false" customHeight="false" outlineLevel="0" collapsed="false">
      <c r="A45" s="5" t="s">
        <v>173</v>
      </c>
      <c r="B45" s="13" t="s">
        <v>174</v>
      </c>
      <c r="C45" s="5" t="s">
        <v>175</v>
      </c>
      <c r="D45" s="5" t="s">
        <v>40</v>
      </c>
      <c r="E45" s="5" t="s">
        <v>176</v>
      </c>
      <c r="F45" s="5" t="s">
        <v>177</v>
      </c>
      <c r="G45" s="5" t="s">
        <v>178</v>
      </c>
    </row>
    <row r="46" customFormat="false" ht="15" hidden="false" customHeight="false" outlineLevel="0" collapsed="false">
      <c r="A46" s="5" t="s">
        <v>179</v>
      </c>
      <c r="B46" s="13" t="s">
        <v>174</v>
      </c>
      <c r="C46" s="5" t="s">
        <v>180</v>
      </c>
      <c r="D46" s="5" t="s">
        <v>40</v>
      </c>
      <c r="E46" s="5" t="s">
        <v>181</v>
      </c>
      <c r="F46" s="5" t="s">
        <v>177</v>
      </c>
      <c r="G46" s="5" t="s">
        <v>182</v>
      </c>
    </row>
    <row r="47" customFormat="false" ht="15" hidden="false" customHeight="false" outlineLevel="0" collapsed="false">
      <c r="A47" s="5" t="s">
        <v>183</v>
      </c>
      <c r="B47" s="13" t="s">
        <v>174</v>
      </c>
      <c r="C47" s="5" t="s">
        <v>184</v>
      </c>
      <c r="D47" s="5" t="s">
        <v>40</v>
      </c>
      <c r="E47" s="5" t="s">
        <v>185</v>
      </c>
      <c r="F47" s="5" t="s">
        <v>177</v>
      </c>
      <c r="G47" s="5" t="s">
        <v>186</v>
      </c>
    </row>
    <row r="48" customFormat="false" ht="15" hidden="false" customHeight="false" outlineLevel="0" collapsed="false">
      <c r="A48" s="5" t="s">
        <v>187</v>
      </c>
      <c r="B48" s="13" t="s">
        <v>174</v>
      </c>
      <c r="C48" s="5" t="s">
        <v>188</v>
      </c>
      <c r="D48" s="5" t="s">
        <v>95</v>
      </c>
      <c r="E48" s="5" t="s">
        <v>96</v>
      </c>
      <c r="F48" s="5" t="s">
        <v>171</v>
      </c>
      <c r="G48" s="5" t="s">
        <v>189</v>
      </c>
    </row>
    <row r="49" customFormat="false" ht="15" hidden="false" customHeight="false" outlineLevel="0" collapsed="false">
      <c r="A49" s="5" t="s">
        <v>190</v>
      </c>
      <c r="B49" s="13" t="s">
        <v>174</v>
      </c>
      <c r="C49" s="5" t="s">
        <v>191</v>
      </c>
      <c r="D49" s="5" t="s">
        <v>95</v>
      </c>
      <c r="E49" s="5" t="s">
        <v>96</v>
      </c>
      <c r="F49" s="5" t="s">
        <v>177</v>
      </c>
      <c r="G49" s="5" t="s">
        <v>192</v>
      </c>
    </row>
    <row r="50" customFormat="false" ht="15" hidden="false" customHeight="false" outlineLevel="0" collapsed="false">
      <c r="A50" s="5" t="s">
        <v>193</v>
      </c>
      <c r="B50" s="13" t="s">
        <v>174</v>
      </c>
      <c r="C50" s="5" t="s">
        <v>194</v>
      </c>
      <c r="D50" s="5" t="s">
        <v>40</v>
      </c>
      <c r="E50" s="5" t="s">
        <v>195</v>
      </c>
      <c r="F50" s="5" t="s">
        <v>177</v>
      </c>
      <c r="G50" s="5" t="s">
        <v>196</v>
      </c>
    </row>
    <row r="51" customFormat="false" ht="15" hidden="false" customHeight="false" outlineLevel="0" collapsed="false">
      <c r="A51" s="5" t="s">
        <v>197</v>
      </c>
      <c r="B51" s="13" t="s">
        <v>174</v>
      </c>
      <c r="C51" s="5" t="s">
        <v>198</v>
      </c>
      <c r="D51" s="5" t="s">
        <v>95</v>
      </c>
      <c r="E51" s="5" t="s">
        <v>96</v>
      </c>
      <c r="F51" s="5" t="s">
        <v>171</v>
      </c>
      <c r="G51" s="5" t="s">
        <v>199</v>
      </c>
    </row>
    <row r="52" customFormat="false" ht="15" hidden="false" customHeight="false" outlineLevel="0" collapsed="false">
      <c r="A52" s="5" t="s">
        <v>200</v>
      </c>
      <c r="B52" s="14" t="s">
        <v>201</v>
      </c>
      <c r="C52" s="5" t="s">
        <v>202</v>
      </c>
      <c r="D52" s="5" t="s">
        <v>31</v>
      </c>
      <c r="E52" s="5" t="s">
        <v>32</v>
      </c>
      <c r="F52" s="5" t="s">
        <v>33</v>
      </c>
      <c r="G52" s="5" t="s">
        <v>203</v>
      </c>
    </row>
    <row r="53" customFormat="false" ht="23.85" hidden="false" customHeight="false" outlineLevel="0" collapsed="false">
      <c r="A53" s="5" t="s">
        <v>204</v>
      </c>
      <c r="B53" s="14" t="s">
        <v>201</v>
      </c>
      <c r="C53" s="5" t="s">
        <v>205</v>
      </c>
      <c r="D53" s="5" t="s">
        <v>31</v>
      </c>
      <c r="E53" s="5" t="s">
        <v>32</v>
      </c>
      <c r="F53" s="5" t="s">
        <v>33</v>
      </c>
      <c r="G53" s="5" t="s">
        <v>206</v>
      </c>
    </row>
    <row r="54" customFormat="false" ht="15" hidden="false" customHeight="false" outlineLevel="0" collapsed="false">
      <c r="A54" s="5" t="s">
        <v>207</v>
      </c>
      <c r="B54" s="14" t="s">
        <v>201</v>
      </c>
      <c r="C54" s="5" t="s">
        <v>208</v>
      </c>
      <c r="D54" s="5" t="s">
        <v>40</v>
      </c>
      <c r="E54" s="5" t="s">
        <v>209</v>
      </c>
      <c r="F54" s="5" t="s">
        <v>171</v>
      </c>
      <c r="G54" s="5" t="s">
        <v>203</v>
      </c>
    </row>
  </sheetData>
  <autoFilter ref="A1:G54"/>
  <dataValidations count="1">
    <dataValidation allowBlank="false" error="Choose Slider, Radio, or Checkbox" errorStyle="stop" operator="between" showDropDown="false" showErrorMessage="true" showInputMessage="false" sqref="D2:D54" type="list">
      <formula1>"Slider,Radio,Checkbox"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52"/>
    <col collapsed="false" customWidth="true" hidden="false" outlineLevel="0" max="4" min="4" style="0" width="13"/>
    <col collapsed="false" customWidth="true" hidden="false" outlineLevel="0" max="5" min="5" style="0" width="48"/>
    <col collapsed="false" customWidth="true" hidden="false" outlineLevel="0" max="6" min="6" style="0" width="24"/>
    <col collapsed="false" customWidth="true" hidden="false" outlineLevel="0" max="7" min="7" style="0" width="58"/>
  </cols>
  <sheetData>
    <row r="1" customFormat="false" ht="30" hidden="false" customHeight="true" outlineLevel="0" collapsed="false">
      <c r="A1" s="4" t="s">
        <v>21</v>
      </c>
      <c r="B1" s="4" t="s">
        <v>22</v>
      </c>
      <c r="C1" s="4" t="s">
        <v>23</v>
      </c>
      <c r="D1" s="4" t="s">
        <v>24</v>
      </c>
      <c r="E1" s="4" t="s">
        <v>25</v>
      </c>
      <c r="F1" s="4" t="s">
        <v>26</v>
      </c>
      <c r="G1" s="4" t="s">
        <v>27</v>
      </c>
    </row>
    <row r="2" customFormat="false" ht="15" hidden="false" customHeight="false" outlineLevel="0" collapsed="false">
      <c r="A2" s="5" t="s">
        <v>210</v>
      </c>
      <c r="B2" s="6" t="s">
        <v>211</v>
      </c>
      <c r="C2" s="5" t="s">
        <v>212</v>
      </c>
      <c r="D2" s="5" t="s">
        <v>40</v>
      </c>
      <c r="E2" s="5" t="s">
        <v>213</v>
      </c>
      <c r="F2" s="5" t="s">
        <v>33</v>
      </c>
      <c r="G2" s="5" t="s">
        <v>214</v>
      </c>
    </row>
    <row r="3" customFormat="false" ht="23.85" hidden="false" customHeight="false" outlineLevel="0" collapsed="false">
      <c r="A3" s="5" t="s">
        <v>215</v>
      </c>
      <c r="B3" s="6" t="s">
        <v>211</v>
      </c>
      <c r="C3" s="5" t="s">
        <v>216</v>
      </c>
      <c r="D3" s="5" t="s">
        <v>95</v>
      </c>
      <c r="E3" s="5" t="s">
        <v>96</v>
      </c>
      <c r="F3" s="5" t="s">
        <v>33</v>
      </c>
      <c r="G3" s="5" t="s">
        <v>217</v>
      </c>
    </row>
    <row r="4" customFormat="false" ht="15" hidden="false" customHeight="false" outlineLevel="0" collapsed="false">
      <c r="A4" s="5" t="s">
        <v>218</v>
      </c>
      <c r="B4" s="6" t="s">
        <v>211</v>
      </c>
      <c r="C4" s="5" t="s">
        <v>219</v>
      </c>
      <c r="D4" s="5" t="s">
        <v>31</v>
      </c>
      <c r="E4" s="5" t="s">
        <v>32</v>
      </c>
      <c r="F4" s="5" t="s">
        <v>33</v>
      </c>
      <c r="G4" s="5" t="s">
        <v>220</v>
      </c>
    </row>
    <row r="5" customFormat="false" ht="15" hidden="false" customHeight="false" outlineLevel="0" collapsed="false">
      <c r="A5" s="5" t="s">
        <v>221</v>
      </c>
      <c r="B5" s="6" t="s">
        <v>211</v>
      </c>
      <c r="C5" s="5" t="s">
        <v>222</v>
      </c>
      <c r="D5" s="5" t="s">
        <v>40</v>
      </c>
      <c r="E5" s="5" t="s">
        <v>213</v>
      </c>
      <c r="F5" s="5" t="s">
        <v>33</v>
      </c>
      <c r="G5" s="5" t="s">
        <v>223</v>
      </c>
    </row>
    <row r="6" customFormat="false" ht="15" hidden="false" customHeight="false" outlineLevel="0" collapsed="false">
      <c r="A6" s="5" t="s">
        <v>224</v>
      </c>
      <c r="B6" s="6" t="s">
        <v>211</v>
      </c>
      <c r="C6" s="5" t="s">
        <v>225</v>
      </c>
      <c r="D6" s="5" t="s">
        <v>95</v>
      </c>
      <c r="E6" s="5" t="s">
        <v>96</v>
      </c>
      <c r="F6" s="5" t="s">
        <v>33</v>
      </c>
      <c r="G6" s="5" t="s">
        <v>226</v>
      </c>
    </row>
    <row r="7" customFormat="false" ht="15" hidden="false" customHeight="false" outlineLevel="0" collapsed="false">
      <c r="A7" s="5" t="s">
        <v>227</v>
      </c>
      <c r="B7" s="6" t="s">
        <v>211</v>
      </c>
      <c r="C7" s="5" t="s">
        <v>228</v>
      </c>
      <c r="D7" s="5" t="s">
        <v>31</v>
      </c>
      <c r="E7" s="5" t="s">
        <v>32</v>
      </c>
      <c r="F7" s="5" t="s">
        <v>33</v>
      </c>
      <c r="G7" s="5" t="s">
        <v>229</v>
      </c>
    </row>
    <row r="8" customFormat="false" ht="23.85" hidden="false" customHeight="false" outlineLevel="0" collapsed="false">
      <c r="A8" s="5" t="s">
        <v>230</v>
      </c>
      <c r="B8" s="7" t="s">
        <v>231</v>
      </c>
      <c r="C8" s="5" t="s">
        <v>232</v>
      </c>
      <c r="D8" s="5" t="s">
        <v>31</v>
      </c>
      <c r="E8" s="5" t="s">
        <v>32</v>
      </c>
      <c r="F8" s="5" t="s">
        <v>33</v>
      </c>
      <c r="G8" s="5" t="s">
        <v>233</v>
      </c>
    </row>
    <row r="9" customFormat="false" ht="15" hidden="false" customHeight="false" outlineLevel="0" collapsed="false">
      <c r="A9" s="5" t="s">
        <v>234</v>
      </c>
      <c r="B9" s="7" t="s">
        <v>231</v>
      </c>
      <c r="C9" s="5" t="s">
        <v>235</v>
      </c>
      <c r="D9" s="5" t="s">
        <v>31</v>
      </c>
      <c r="E9" s="5" t="s">
        <v>32</v>
      </c>
      <c r="F9" s="5" t="s">
        <v>33</v>
      </c>
      <c r="G9" s="5" t="s">
        <v>236</v>
      </c>
    </row>
    <row r="10" customFormat="false" ht="23.85" hidden="false" customHeight="false" outlineLevel="0" collapsed="false">
      <c r="A10" s="5" t="s">
        <v>237</v>
      </c>
      <c r="B10" s="7" t="s">
        <v>231</v>
      </c>
      <c r="C10" s="5" t="s">
        <v>238</v>
      </c>
      <c r="D10" s="5" t="s">
        <v>95</v>
      </c>
      <c r="E10" s="5" t="s">
        <v>96</v>
      </c>
      <c r="F10" s="5" t="s">
        <v>33</v>
      </c>
      <c r="G10" s="5" t="s">
        <v>239</v>
      </c>
    </row>
    <row r="11" customFormat="false" ht="23.85" hidden="false" customHeight="false" outlineLevel="0" collapsed="false">
      <c r="A11" s="5" t="s">
        <v>240</v>
      </c>
      <c r="B11" s="7" t="s">
        <v>231</v>
      </c>
      <c r="C11" s="5" t="s">
        <v>241</v>
      </c>
      <c r="D11" s="5" t="s">
        <v>31</v>
      </c>
      <c r="E11" s="5" t="s">
        <v>32</v>
      </c>
      <c r="F11" s="5" t="s">
        <v>33</v>
      </c>
      <c r="G11" s="5" t="s">
        <v>242</v>
      </c>
    </row>
    <row r="12" customFormat="false" ht="15" hidden="false" customHeight="false" outlineLevel="0" collapsed="false">
      <c r="A12" s="5" t="s">
        <v>243</v>
      </c>
      <c r="B12" s="7" t="s">
        <v>231</v>
      </c>
      <c r="C12" s="5" t="s">
        <v>244</v>
      </c>
      <c r="D12" s="5" t="s">
        <v>31</v>
      </c>
      <c r="E12" s="5" t="s">
        <v>32</v>
      </c>
      <c r="F12" s="5" t="s">
        <v>33</v>
      </c>
      <c r="G12" s="5" t="s">
        <v>245</v>
      </c>
    </row>
    <row r="13" customFormat="false" ht="23.85" hidden="false" customHeight="false" outlineLevel="0" collapsed="false">
      <c r="A13" s="5" t="s">
        <v>246</v>
      </c>
      <c r="B13" s="7" t="s">
        <v>231</v>
      </c>
      <c r="C13" s="5" t="s">
        <v>247</v>
      </c>
      <c r="D13" s="5" t="s">
        <v>31</v>
      </c>
      <c r="E13" s="5" t="s">
        <v>32</v>
      </c>
      <c r="F13" s="5" t="s">
        <v>33</v>
      </c>
      <c r="G13" s="5" t="s">
        <v>248</v>
      </c>
    </row>
    <row r="14" customFormat="false" ht="23.85" hidden="false" customHeight="false" outlineLevel="0" collapsed="false">
      <c r="A14" s="5" t="s">
        <v>249</v>
      </c>
      <c r="B14" s="7" t="s">
        <v>231</v>
      </c>
      <c r="C14" s="5" t="s">
        <v>250</v>
      </c>
      <c r="D14" s="5" t="s">
        <v>31</v>
      </c>
      <c r="E14" s="5" t="s">
        <v>251</v>
      </c>
      <c r="F14" s="5" t="s">
        <v>33</v>
      </c>
      <c r="G14" s="5" t="s">
        <v>252</v>
      </c>
    </row>
    <row r="15" customFormat="false" ht="15" hidden="false" customHeight="false" outlineLevel="0" collapsed="false">
      <c r="A15" s="5" t="s">
        <v>253</v>
      </c>
      <c r="B15" s="7" t="s">
        <v>231</v>
      </c>
      <c r="C15" s="5" t="s">
        <v>254</v>
      </c>
      <c r="D15" s="5" t="s">
        <v>95</v>
      </c>
      <c r="E15" s="5" t="s">
        <v>96</v>
      </c>
      <c r="F15" s="5" t="s">
        <v>33</v>
      </c>
      <c r="G15" s="5" t="s">
        <v>255</v>
      </c>
    </row>
    <row r="16" customFormat="false" ht="23.85" hidden="false" customHeight="false" outlineLevel="0" collapsed="false">
      <c r="A16" s="5" t="s">
        <v>256</v>
      </c>
      <c r="B16" s="8" t="s">
        <v>257</v>
      </c>
      <c r="C16" s="5" t="s">
        <v>258</v>
      </c>
      <c r="D16" s="5" t="s">
        <v>31</v>
      </c>
      <c r="E16" s="5" t="s">
        <v>32</v>
      </c>
      <c r="F16" s="5" t="s">
        <v>33</v>
      </c>
      <c r="G16" s="5" t="s">
        <v>259</v>
      </c>
    </row>
    <row r="17" customFormat="false" ht="15" hidden="false" customHeight="false" outlineLevel="0" collapsed="false">
      <c r="A17" s="5" t="s">
        <v>260</v>
      </c>
      <c r="B17" s="8" t="s">
        <v>257</v>
      </c>
      <c r="C17" s="5" t="s">
        <v>261</v>
      </c>
      <c r="D17" s="5" t="s">
        <v>40</v>
      </c>
      <c r="E17" s="5" t="s">
        <v>262</v>
      </c>
      <c r="F17" s="5" t="s">
        <v>33</v>
      </c>
      <c r="G17" s="5" t="s">
        <v>263</v>
      </c>
    </row>
    <row r="18" customFormat="false" ht="15" hidden="false" customHeight="false" outlineLevel="0" collapsed="false">
      <c r="A18" s="5" t="s">
        <v>264</v>
      </c>
      <c r="B18" s="8" t="s">
        <v>257</v>
      </c>
      <c r="C18" s="5" t="s">
        <v>265</v>
      </c>
      <c r="D18" s="5" t="s">
        <v>31</v>
      </c>
      <c r="E18" s="5" t="s">
        <v>32</v>
      </c>
      <c r="F18" s="5" t="s">
        <v>33</v>
      </c>
      <c r="G18" s="5" t="s">
        <v>266</v>
      </c>
    </row>
    <row r="19" customFormat="false" ht="15" hidden="false" customHeight="false" outlineLevel="0" collapsed="false">
      <c r="A19" s="5" t="s">
        <v>267</v>
      </c>
      <c r="B19" s="8" t="s">
        <v>257</v>
      </c>
      <c r="C19" s="5" t="s">
        <v>268</v>
      </c>
      <c r="D19" s="5" t="s">
        <v>95</v>
      </c>
      <c r="E19" s="5" t="s">
        <v>96</v>
      </c>
      <c r="F19" s="5" t="s">
        <v>33</v>
      </c>
      <c r="G19" s="5" t="s">
        <v>269</v>
      </c>
    </row>
    <row r="20" customFormat="false" ht="15" hidden="false" customHeight="false" outlineLevel="0" collapsed="false">
      <c r="A20" s="5" t="s">
        <v>270</v>
      </c>
      <c r="B20" s="8" t="s">
        <v>257</v>
      </c>
      <c r="C20" s="5" t="s">
        <v>271</v>
      </c>
      <c r="D20" s="5" t="s">
        <v>95</v>
      </c>
      <c r="E20" s="5" t="s">
        <v>96</v>
      </c>
      <c r="F20" s="5" t="s">
        <v>33</v>
      </c>
      <c r="G20" s="5" t="s">
        <v>272</v>
      </c>
    </row>
    <row r="21" customFormat="false" ht="23.85" hidden="false" customHeight="false" outlineLevel="0" collapsed="false">
      <c r="A21" s="5" t="s">
        <v>273</v>
      </c>
      <c r="B21" s="9" t="s">
        <v>274</v>
      </c>
      <c r="C21" s="5" t="s">
        <v>275</v>
      </c>
      <c r="D21" s="5" t="s">
        <v>95</v>
      </c>
      <c r="E21" s="5" t="s">
        <v>96</v>
      </c>
      <c r="F21" s="5" t="s">
        <v>33</v>
      </c>
      <c r="G21" s="5" t="s">
        <v>276</v>
      </c>
    </row>
    <row r="22" customFormat="false" ht="15" hidden="false" customHeight="false" outlineLevel="0" collapsed="false">
      <c r="A22" s="5" t="s">
        <v>277</v>
      </c>
      <c r="B22" s="9" t="s">
        <v>274</v>
      </c>
      <c r="C22" s="5" t="s">
        <v>278</v>
      </c>
      <c r="D22" s="5" t="s">
        <v>31</v>
      </c>
      <c r="E22" s="5" t="s">
        <v>32</v>
      </c>
      <c r="F22" s="5" t="s">
        <v>33</v>
      </c>
      <c r="G22" s="5" t="s">
        <v>279</v>
      </c>
    </row>
    <row r="23" customFormat="false" ht="23.85" hidden="false" customHeight="false" outlineLevel="0" collapsed="false">
      <c r="A23" s="5" t="s">
        <v>280</v>
      </c>
      <c r="B23" s="9" t="s">
        <v>274</v>
      </c>
      <c r="C23" s="5" t="s">
        <v>281</v>
      </c>
      <c r="D23" s="5" t="s">
        <v>95</v>
      </c>
      <c r="E23" s="5" t="s">
        <v>96</v>
      </c>
      <c r="F23" s="5" t="s">
        <v>33</v>
      </c>
      <c r="G23" s="5" t="s">
        <v>282</v>
      </c>
    </row>
    <row r="24" customFormat="false" ht="15" hidden="false" customHeight="false" outlineLevel="0" collapsed="false">
      <c r="A24" s="5" t="s">
        <v>283</v>
      </c>
      <c r="B24" s="10" t="s">
        <v>284</v>
      </c>
      <c r="C24" s="5" t="s">
        <v>285</v>
      </c>
      <c r="D24" s="5" t="s">
        <v>31</v>
      </c>
      <c r="E24" s="5" t="s">
        <v>32</v>
      </c>
      <c r="F24" s="5" t="s">
        <v>33</v>
      </c>
      <c r="G24" s="5" t="s">
        <v>286</v>
      </c>
    </row>
    <row r="25" customFormat="false" ht="15" hidden="false" customHeight="false" outlineLevel="0" collapsed="false">
      <c r="A25" s="5" t="s">
        <v>287</v>
      </c>
      <c r="B25" s="10" t="s">
        <v>284</v>
      </c>
      <c r="C25" s="5" t="s">
        <v>288</v>
      </c>
      <c r="D25" s="5" t="s">
        <v>31</v>
      </c>
      <c r="E25" s="5" t="s">
        <v>32</v>
      </c>
      <c r="F25" s="5" t="s">
        <v>33</v>
      </c>
      <c r="G25" s="5" t="s">
        <v>289</v>
      </c>
    </row>
    <row r="26" customFormat="false" ht="15" hidden="false" customHeight="false" outlineLevel="0" collapsed="false">
      <c r="A26" s="5" t="s">
        <v>290</v>
      </c>
      <c r="B26" s="10" t="s">
        <v>284</v>
      </c>
      <c r="C26" s="5" t="s">
        <v>291</v>
      </c>
      <c r="D26" s="5" t="s">
        <v>31</v>
      </c>
      <c r="E26" s="5" t="s">
        <v>32</v>
      </c>
      <c r="F26" s="5" t="s">
        <v>33</v>
      </c>
      <c r="G26" s="5" t="s">
        <v>292</v>
      </c>
    </row>
    <row r="27" customFormat="false" ht="15" hidden="false" customHeight="false" outlineLevel="0" collapsed="false">
      <c r="A27" s="5" t="s">
        <v>293</v>
      </c>
      <c r="B27" s="10" t="s">
        <v>284</v>
      </c>
      <c r="C27" s="5" t="s">
        <v>294</v>
      </c>
      <c r="D27" s="5" t="s">
        <v>31</v>
      </c>
      <c r="E27" s="5" t="s">
        <v>32</v>
      </c>
      <c r="F27" s="5" t="s">
        <v>33</v>
      </c>
      <c r="G27" s="5" t="s">
        <v>295</v>
      </c>
    </row>
    <row r="28" customFormat="false" ht="15" hidden="false" customHeight="false" outlineLevel="0" collapsed="false">
      <c r="A28" s="5" t="s">
        <v>296</v>
      </c>
      <c r="B28" s="10" t="s">
        <v>284</v>
      </c>
      <c r="C28" s="5" t="s">
        <v>297</v>
      </c>
      <c r="D28" s="5" t="s">
        <v>40</v>
      </c>
      <c r="E28" s="5" t="s">
        <v>298</v>
      </c>
      <c r="F28" s="5" t="s">
        <v>33</v>
      </c>
      <c r="G28" s="5" t="s">
        <v>299</v>
      </c>
    </row>
    <row r="29" customFormat="false" ht="15" hidden="false" customHeight="false" outlineLevel="0" collapsed="false">
      <c r="A29" s="5" t="s">
        <v>300</v>
      </c>
      <c r="B29" s="10" t="s">
        <v>284</v>
      </c>
      <c r="C29" s="5" t="s">
        <v>301</v>
      </c>
      <c r="D29" s="5" t="s">
        <v>31</v>
      </c>
      <c r="E29" s="5" t="s">
        <v>32</v>
      </c>
      <c r="F29" s="5" t="s">
        <v>33</v>
      </c>
      <c r="G29" s="5" t="s">
        <v>302</v>
      </c>
    </row>
    <row r="30" customFormat="false" ht="15" hidden="false" customHeight="false" outlineLevel="0" collapsed="false">
      <c r="A30" s="5" t="s">
        <v>303</v>
      </c>
      <c r="B30" s="11" t="s">
        <v>304</v>
      </c>
      <c r="C30" s="5" t="s">
        <v>305</v>
      </c>
      <c r="D30" s="5" t="s">
        <v>31</v>
      </c>
      <c r="E30" s="5" t="s">
        <v>32</v>
      </c>
      <c r="F30" s="5" t="s">
        <v>33</v>
      </c>
      <c r="G30" s="5" t="s">
        <v>306</v>
      </c>
    </row>
    <row r="31" customFormat="false" ht="15" hidden="false" customHeight="false" outlineLevel="0" collapsed="false">
      <c r="A31" s="5" t="s">
        <v>307</v>
      </c>
      <c r="B31" s="11" t="s">
        <v>304</v>
      </c>
      <c r="C31" s="5" t="s">
        <v>308</v>
      </c>
      <c r="D31" s="5" t="s">
        <v>31</v>
      </c>
      <c r="E31" s="5" t="s">
        <v>32</v>
      </c>
      <c r="F31" s="5" t="s">
        <v>33</v>
      </c>
      <c r="G31" s="5" t="s">
        <v>309</v>
      </c>
    </row>
    <row r="32" customFormat="false" ht="15" hidden="false" customHeight="false" outlineLevel="0" collapsed="false">
      <c r="A32" s="5" t="s">
        <v>310</v>
      </c>
      <c r="B32" s="11" t="s">
        <v>304</v>
      </c>
      <c r="C32" s="5" t="s">
        <v>311</v>
      </c>
      <c r="D32" s="5" t="s">
        <v>95</v>
      </c>
      <c r="E32" s="5" t="s">
        <v>96</v>
      </c>
      <c r="F32" s="5" t="s">
        <v>33</v>
      </c>
      <c r="G32" s="5" t="s">
        <v>312</v>
      </c>
    </row>
    <row r="33" customFormat="false" ht="15" hidden="false" customHeight="false" outlineLevel="0" collapsed="false">
      <c r="A33" s="5" t="s">
        <v>313</v>
      </c>
      <c r="B33" s="11" t="s">
        <v>304</v>
      </c>
      <c r="C33" s="5" t="s">
        <v>314</v>
      </c>
      <c r="D33" s="5" t="s">
        <v>31</v>
      </c>
      <c r="E33" s="5" t="s">
        <v>32</v>
      </c>
      <c r="F33" s="5" t="s">
        <v>33</v>
      </c>
      <c r="G33" s="5" t="s">
        <v>315</v>
      </c>
    </row>
    <row r="34" customFormat="false" ht="15" hidden="false" customHeight="false" outlineLevel="0" collapsed="false">
      <c r="A34" s="5" t="s">
        <v>316</v>
      </c>
      <c r="B34" s="11" t="s">
        <v>304</v>
      </c>
      <c r="C34" s="5" t="s">
        <v>317</v>
      </c>
      <c r="D34" s="5" t="s">
        <v>31</v>
      </c>
      <c r="E34" s="5" t="s">
        <v>32</v>
      </c>
      <c r="F34" s="5" t="s">
        <v>33</v>
      </c>
      <c r="G34" s="5" t="s">
        <v>318</v>
      </c>
    </row>
    <row r="35" customFormat="false" ht="15" hidden="false" customHeight="false" outlineLevel="0" collapsed="false">
      <c r="A35" s="5" t="s">
        <v>319</v>
      </c>
      <c r="B35" s="11" t="s">
        <v>304</v>
      </c>
      <c r="C35" s="5" t="s">
        <v>320</v>
      </c>
      <c r="D35" s="5" t="s">
        <v>40</v>
      </c>
      <c r="E35" s="5" t="s">
        <v>195</v>
      </c>
      <c r="F35" s="5" t="s">
        <v>177</v>
      </c>
      <c r="G35" s="5" t="s">
        <v>321</v>
      </c>
    </row>
    <row r="36" customFormat="false" ht="15" hidden="false" customHeight="false" outlineLevel="0" collapsed="false">
      <c r="A36" s="5" t="s">
        <v>322</v>
      </c>
      <c r="B36" s="12" t="s">
        <v>323</v>
      </c>
      <c r="C36" s="5" t="s">
        <v>324</v>
      </c>
      <c r="D36" s="5" t="s">
        <v>31</v>
      </c>
      <c r="E36" s="5" t="s">
        <v>32</v>
      </c>
      <c r="F36" s="5" t="s">
        <v>33</v>
      </c>
      <c r="G36" s="5" t="s">
        <v>325</v>
      </c>
    </row>
    <row r="37" customFormat="false" ht="15" hidden="false" customHeight="false" outlineLevel="0" collapsed="false">
      <c r="A37" s="5" t="s">
        <v>326</v>
      </c>
      <c r="B37" s="12" t="s">
        <v>323</v>
      </c>
      <c r="C37" s="5" t="s">
        <v>327</v>
      </c>
      <c r="D37" s="5" t="s">
        <v>31</v>
      </c>
      <c r="E37" s="5" t="s">
        <v>32</v>
      </c>
      <c r="F37" s="5" t="s">
        <v>33</v>
      </c>
      <c r="G37" s="5" t="s">
        <v>328</v>
      </c>
    </row>
    <row r="38" customFormat="false" ht="23.85" hidden="false" customHeight="false" outlineLevel="0" collapsed="false">
      <c r="A38" s="5" t="s">
        <v>329</v>
      </c>
      <c r="B38" s="12" t="s">
        <v>323</v>
      </c>
      <c r="C38" s="5" t="s">
        <v>330</v>
      </c>
      <c r="D38" s="5" t="s">
        <v>31</v>
      </c>
      <c r="E38" s="5" t="s">
        <v>32</v>
      </c>
      <c r="F38" s="5" t="s">
        <v>33</v>
      </c>
      <c r="G38" s="5" t="s">
        <v>331</v>
      </c>
    </row>
    <row r="39" customFormat="false" ht="15" hidden="false" customHeight="false" outlineLevel="0" collapsed="false">
      <c r="A39" s="5" t="s">
        <v>332</v>
      </c>
      <c r="B39" s="12" t="s">
        <v>323</v>
      </c>
      <c r="C39" s="5" t="s">
        <v>333</v>
      </c>
      <c r="D39" s="5" t="s">
        <v>31</v>
      </c>
      <c r="E39" s="5" t="s">
        <v>32</v>
      </c>
      <c r="F39" s="5" t="s">
        <v>33</v>
      </c>
      <c r="G39" s="5" t="s">
        <v>334</v>
      </c>
    </row>
    <row r="40" customFormat="false" ht="15" hidden="false" customHeight="false" outlineLevel="0" collapsed="false">
      <c r="A40" s="5" t="s">
        <v>335</v>
      </c>
      <c r="B40" s="12" t="s">
        <v>323</v>
      </c>
      <c r="C40" s="5" t="s">
        <v>336</v>
      </c>
      <c r="D40" s="5" t="s">
        <v>31</v>
      </c>
      <c r="E40" s="5" t="s">
        <v>32</v>
      </c>
      <c r="F40" s="5" t="s">
        <v>33</v>
      </c>
      <c r="G40" s="5" t="s">
        <v>337</v>
      </c>
    </row>
    <row r="41" customFormat="false" ht="15" hidden="false" customHeight="false" outlineLevel="0" collapsed="false">
      <c r="A41" s="5" t="s">
        <v>338</v>
      </c>
      <c r="B41" s="12" t="s">
        <v>323</v>
      </c>
      <c r="C41" s="5" t="s">
        <v>339</v>
      </c>
      <c r="D41" s="5" t="s">
        <v>31</v>
      </c>
      <c r="E41" s="5" t="s">
        <v>32</v>
      </c>
      <c r="F41" s="5" t="s">
        <v>33</v>
      </c>
      <c r="G41" s="5" t="s">
        <v>340</v>
      </c>
    </row>
    <row r="42" customFormat="false" ht="15" hidden="false" customHeight="false" outlineLevel="0" collapsed="false">
      <c r="A42" s="5" t="s">
        <v>341</v>
      </c>
      <c r="B42" s="15" t="s">
        <v>342</v>
      </c>
      <c r="C42" s="5" t="s">
        <v>343</v>
      </c>
      <c r="D42" s="5" t="s">
        <v>31</v>
      </c>
      <c r="E42" s="5" t="s">
        <v>32</v>
      </c>
      <c r="F42" s="5" t="s">
        <v>33</v>
      </c>
      <c r="G42" s="5" t="s">
        <v>344</v>
      </c>
    </row>
    <row r="43" customFormat="false" ht="15" hidden="false" customHeight="false" outlineLevel="0" collapsed="false">
      <c r="A43" s="5" t="s">
        <v>345</v>
      </c>
      <c r="B43" s="15" t="s">
        <v>342</v>
      </c>
      <c r="C43" s="5" t="s">
        <v>346</v>
      </c>
      <c r="D43" s="5" t="s">
        <v>31</v>
      </c>
      <c r="E43" s="5" t="s">
        <v>32</v>
      </c>
      <c r="F43" s="5" t="s">
        <v>33</v>
      </c>
      <c r="G43" s="5" t="s">
        <v>347</v>
      </c>
    </row>
    <row r="44" customFormat="false" ht="15" hidden="false" customHeight="false" outlineLevel="0" collapsed="false">
      <c r="A44" s="5" t="s">
        <v>348</v>
      </c>
      <c r="B44" s="15" t="s">
        <v>342</v>
      </c>
      <c r="C44" s="5" t="s">
        <v>349</v>
      </c>
      <c r="D44" s="5" t="s">
        <v>31</v>
      </c>
      <c r="E44" s="5" t="s">
        <v>32</v>
      </c>
      <c r="F44" s="5" t="s">
        <v>33</v>
      </c>
      <c r="G44" s="5" t="s">
        <v>350</v>
      </c>
    </row>
    <row r="45" customFormat="false" ht="15" hidden="false" customHeight="false" outlineLevel="0" collapsed="false">
      <c r="A45" s="5" t="s">
        <v>351</v>
      </c>
      <c r="B45" s="15" t="s">
        <v>342</v>
      </c>
      <c r="C45" s="5" t="s">
        <v>352</v>
      </c>
      <c r="D45" s="5" t="s">
        <v>31</v>
      </c>
      <c r="E45" s="5" t="s">
        <v>32</v>
      </c>
      <c r="F45" s="5" t="s">
        <v>33</v>
      </c>
      <c r="G45" s="5" t="s">
        <v>353</v>
      </c>
    </row>
    <row r="46" customFormat="false" ht="15" hidden="false" customHeight="false" outlineLevel="0" collapsed="false">
      <c r="A46" s="5" t="s">
        <v>354</v>
      </c>
      <c r="B46" s="15" t="s">
        <v>342</v>
      </c>
      <c r="C46" s="5" t="s">
        <v>164</v>
      </c>
      <c r="D46" s="5" t="s">
        <v>40</v>
      </c>
      <c r="E46" s="5" t="s">
        <v>165</v>
      </c>
      <c r="F46" s="5" t="s">
        <v>166</v>
      </c>
      <c r="G46" s="5" t="s">
        <v>355</v>
      </c>
    </row>
    <row r="47" customFormat="false" ht="15" hidden="false" customHeight="false" outlineLevel="0" collapsed="false">
      <c r="A47" s="5" t="s">
        <v>356</v>
      </c>
      <c r="B47" s="15" t="s">
        <v>342</v>
      </c>
      <c r="C47" s="5" t="s">
        <v>169</v>
      </c>
      <c r="D47" s="5" t="s">
        <v>31</v>
      </c>
      <c r="E47" s="5" t="s">
        <v>170</v>
      </c>
      <c r="F47" s="5" t="s">
        <v>171</v>
      </c>
      <c r="G47" s="5" t="s">
        <v>172</v>
      </c>
    </row>
    <row r="48" customFormat="false" ht="15" hidden="false" customHeight="false" outlineLevel="0" collapsed="false">
      <c r="A48" s="5" t="s">
        <v>357</v>
      </c>
      <c r="B48" s="16" t="s">
        <v>358</v>
      </c>
      <c r="C48" s="5" t="s">
        <v>359</v>
      </c>
      <c r="D48" s="5" t="s">
        <v>31</v>
      </c>
      <c r="E48" s="5" t="s">
        <v>32</v>
      </c>
      <c r="F48" s="5" t="s">
        <v>33</v>
      </c>
      <c r="G48" s="5" t="s">
        <v>360</v>
      </c>
    </row>
    <row r="49" customFormat="false" ht="15" hidden="false" customHeight="false" outlineLevel="0" collapsed="false">
      <c r="A49" s="5" t="s">
        <v>361</v>
      </c>
      <c r="B49" s="16" t="s">
        <v>358</v>
      </c>
      <c r="C49" s="5" t="s">
        <v>362</v>
      </c>
      <c r="D49" s="5" t="s">
        <v>31</v>
      </c>
      <c r="E49" s="5" t="s">
        <v>32</v>
      </c>
      <c r="F49" s="5" t="s">
        <v>33</v>
      </c>
      <c r="G49" s="5" t="s">
        <v>363</v>
      </c>
    </row>
    <row r="50" customFormat="false" ht="15" hidden="false" customHeight="false" outlineLevel="0" collapsed="false">
      <c r="A50" s="5" t="s">
        <v>364</v>
      </c>
      <c r="B50" s="16" t="s">
        <v>358</v>
      </c>
      <c r="C50" s="5" t="s">
        <v>365</v>
      </c>
      <c r="D50" s="5" t="s">
        <v>95</v>
      </c>
      <c r="E50" s="5" t="s">
        <v>96</v>
      </c>
      <c r="F50" s="5" t="s">
        <v>33</v>
      </c>
      <c r="G50" s="5" t="s">
        <v>366</v>
      </c>
    </row>
    <row r="51" customFormat="false" ht="23.85" hidden="false" customHeight="false" outlineLevel="0" collapsed="false">
      <c r="A51" s="5" t="s">
        <v>367</v>
      </c>
      <c r="B51" s="16" t="s">
        <v>358</v>
      </c>
      <c r="C51" s="5" t="s">
        <v>368</v>
      </c>
      <c r="D51" s="5" t="s">
        <v>95</v>
      </c>
      <c r="E51" s="5" t="s">
        <v>96</v>
      </c>
      <c r="F51" s="5" t="s">
        <v>33</v>
      </c>
      <c r="G51" s="5" t="s">
        <v>369</v>
      </c>
    </row>
    <row r="52" customFormat="false" ht="15" hidden="false" customHeight="false" outlineLevel="0" collapsed="false">
      <c r="A52" s="5" t="s">
        <v>370</v>
      </c>
      <c r="B52" s="16" t="s">
        <v>358</v>
      </c>
      <c r="C52" s="5" t="s">
        <v>371</v>
      </c>
      <c r="D52" s="5" t="s">
        <v>95</v>
      </c>
      <c r="E52" s="5" t="s">
        <v>96</v>
      </c>
      <c r="F52" s="5" t="s">
        <v>33</v>
      </c>
      <c r="G52" s="5" t="s">
        <v>372</v>
      </c>
    </row>
    <row r="53" customFormat="false" ht="35.05" hidden="false" customHeight="false" outlineLevel="0" collapsed="false">
      <c r="A53" s="5" t="s">
        <v>373</v>
      </c>
      <c r="B53" s="17" t="s">
        <v>374</v>
      </c>
      <c r="C53" s="5" t="s">
        <v>375</v>
      </c>
      <c r="D53" s="5" t="s">
        <v>40</v>
      </c>
      <c r="E53" s="5" t="s">
        <v>376</v>
      </c>
      <c r="F53" s="5" t="s">
        <v>377</v>
      </c>
      <c r="G53" s="5" t="s">
        <v>378</v>
      </c>
    </row>
    <row r="54" customFormat="false" ht="35.05" hidden="false" customHeight="false" outlineLevel="0" collapsed="false">
      <c r="A54" s="5" t="s">
        <v>379</v>
      </c>
      <c r="B54" s="17" t="s">
        <v>374</v>
      </c>
      <c r="C54" s="5" t="s">
        <v>380</v>
      </c>
      <c r="D54" s="5" t="s">
        <v>40</v>
      </c>
      <c r="E54" s="5" t="s">
        <v>381</v>
      </c>
      <c r="F54" s="5" t="s">
        <v>377</v>
      </c>
      <c r="G54" s="5" t="s">
        <v>382</v>
      </c>
    </row>
    <row r="55" customFormat="false" ht="23.85" hidden="false" customHeight="false" outlineLevel="0" collapsed="false">
      <c r="A55" s="5" t="s">
        <v>383</v>
      </c>
      <c r="B55" s="13" t="s">
        <v>384</v>
      </c>
      <c r="C55" s="5" t="s">
        <v>184</v>
      </c>
      <c r="D55" s="5" t="s">
        <v>40</v>
      </c>
      <c r="E55" s="5" t="s">
        <v>185</v>
      </c>
      <c r="F55" s="5" t="s">
        <v>177</v>
      </c>
      <c r="G55" s="5" t="s">
        <v>385</v>
      </c>
    </row>
    <row r="56" customFormat="false" ht="15" hidden="false" customHeight="false" outlineLevel="0" collapsed="false">
      <c r="A56" s="5" t="s">
        <v>386</v>
      </c>
      <c r="B56" s="13" t="s">
        <v>384</v>
      </c>
      <c r="C56" s="5" t="s">
        <v>387</v>
      </c>
      <c r="D56" s="5" t="s">
        <v>40</v>
      </c>
      <c r="E56" s="5" t="s">
        <v>181</v>
      </c>
      <c r="F56" s="5" t="s">
        <v>177</v>
      </c>
      <c r="G56" s="5" t="s">
        <v>388</v>
      </c>
    </row>
    <row r="57" customFormat="false" ht="15" hidden="false" customHeight="false" outlineLevel="0" collapsed="false">
      <c r="A57" s="5" t="s">
        <v>389</v>
      </c>
      <c r="B57" s="13" t="s">
        <v>384</v>
      </c>
      <c r="C57" s="5" t="s">
        <v>191</v>
      </c>
      <c r="D57" s="5" t="s">
        <v>95</v>
      </c>
      <c r="E57" s="5" t="s">
        <v>96</v>
      </c>
      <c r="F57" s="5" t="s">
        <v>177</v>
      </c>
      <c r="G57" s="5" t="s">
        <v>390</v>
      </c>
    </row>
    <row r="58" customFormat="false" ht="15" hidden="false" customHeight="false" outlineLevel="0" collapsed="false">
      <c r="A58" s="5" t="s">
        <v>391</v>
      </c>
      <c r="B58" s="13" t="s">
        <v>384</v>
      </c>
      <c r="C58" s="5" t="s">
        <v>392</v>
      </c>
      <c r="D58" s="5" t="s">
        <v>40</v>
      </c>
      <c r="E58" s="5" t="s">
        <v>393</v>
      </c>
      <c r="F58" s="5" t="s">
        <v>171</v>
      </c>
      <c r="G58" s="5" t="s">
        <v>394</v>
      </c>
    </row>
    <row r="59" customFormat="false" ht="15" hidden="false" customHeight="false" outlineLevel="0" collapsed="false">
      <c r="A59" s="5" t="s">
        <v>395</v>
      </c>
      <c r="B59" s="13" t="s">
        <v>384</v>
      </c>
      <c r="C59" s="5" t="s">
        <v>188</v>
      </c>
      <c r="D59" s="5" t="s">
        <v>95</v>
      </c>
      <c r="E59" s="5" t="s">
        <v>96</v>
      </c>
      <c r="F59" s="5" t="s">
        <v>171</v>
      </c>
      <c r="G59" s="5" t="s">
        <v>189</v>
      </c>
    </row>
    <row r="60" customFormat="false" ht="15" hidden="false" customHeight="false" outlineLevel="0" collapsed="false">
      <c r="A60" s="5" t="s">
        <v>396</v>
      </c>
      <c r="B60" s="13" t="s">
        <v>384</v>
      </c>
      <c r="C60" s="5" t="s">
        <v>397</v>
      </c>
      <c r="D60" s="5" t="s">
        <v>95</v>
      </c>
      <c r="E60" s="5" t="s">
        <v>96</v>
      </c>
      <c r="F60" s="5" t="s">
        <v>171</v>
      </c>
      <c r="G60" s="5" t="s">
        <v>199</v>
      </c>
    </row>
    <row r="61" customFormat="false" ht="15" hidden="false" customHeight="false" outlineLevel="0" collapsed="false">
      <c r="A61" s="5" t="s">
        <v>398</v>
      </c>
      <c r="B61" s="13" t="s">
        <v>384</v>
      </c>
      <c r="C61" s="5" t="s">
        <v>399</v>
      </c>
      <c r="D61" s="5" t="s">
        <v>95</v>
      </c>
      <c r="E61" s="5" t="s">
        <v>96</v>
      </c>
      <c r="F61" s="5" t="s">
        <v>171</v>
      </c>
      <c r="G61" s="5" t="s">
        <v>400</v>
      </c>
    </row>
    <row r="62" customFormat="false" ht="15" hidden="false" customHeight="false" outlineLevel="0" collapsed="false">
      <c r="A62" s="5" t="s">
        <v>401</v>
      </c>
      <c r="B62" s="14" t="s">
        <v>201</v>
      </c>
      <c r="C62" s="5" t="s">
        <v>402</v>
      </c>
      <c r="D62" s="5" t="s">
        <v>31</v>
      </c>
      <c r="E62" s="5" t="s">
        <v>32</v>
      </c>
      <c r="F62" s="5" t="s">
        <v>33</v>
      </c>
      <c r="G62" s="5" t="s">
        <v>203</v>
      </c>
    </row>
    <row r="63" customFormat="false" ht="15" hidden="false" customHeight="false" outlineLevel="0" collapsed="false">
      <c r="A63" s="5" t="s">
        <v>403</v>
      </c>
      <c r="B63" s="14" t="s">
        <v>201</v>
      </c>
      <c r="C63" s="5" t="s">
        <v>404</v>
      </c>
      <c r="D63" s="5" t="s">
        <v>31</v>
      </c>
      <c r="E63" s="5" t="s">
        <v>170</v>
      </c>
      <c r="F63" s="5" t="s">
        <v>171</v>
      </c>
      <c r="G63" s="5" t="s">
        <v>172</v>
      </c>
    </row>
    <row r="64" customFormat="false" ht="15" hidden="false" customHeight="false" outlineLevel="0" collapsed="false">
      <c r="A64" s="5" t="s">
        <v>405</v>
      </c>
      <c r="B64" s="14" t="s">
        <v>201</v>
      </c>
      <c r="C64" s="5" t="s">
        <v>208</v>
      </c>
      <c r="D64" s="5" t="s">
        <v>40</v>
      </c>
      <c r="E64" s="5" t="s">
        <v>209</v>
      </c>
      <c r="F64" s="5" t="s">
        <v>171</v>
      </c>
      <c r="G64" s="5" t="s">
        <v>203</v>
      </c>
    </row>
  </sheetData>
  <autoFilter ref="A1:G64"/>
  <dataValidations count="1">
    <dataValidation allowBlank="false" error="Choose Slider, Radio, or Checkbox" errorStyle="stop" operator="between" showDropDown="false" showErrorMessage="true" showInputMessage="false" sqref="D2:D64" type="list">
      <formula1>"Slider,Radio,Checkbox"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52"/>
    <col collapsed="false" customWidth="true" hidden="false" outlineLevel="0" max="4" min="4" style="0" width="13"/>
    <col collapsed="false" customWidth="true" hidden="false" outlineLevel="0" max="5" min="5" style="0" width="48"/>
    <col collapsed="false" customWidth="true" hidden="false" outlineLevel="0" max="6" min="6" style="0" width="24"/>
    <col collapsed="false" customWidth="true" hidden="false" outlineLevel="0" max="7" min="7" style="0" width="58"/>
  </cols>
  <sheetData>
    <row r="1" customFormat="false" ht="30" hidden="false" customHeight="true" outlineLevel="0" collapsed="false">
      <c r="A1" s="4" t="s">
        <v>21</v>
      </c>
      <c r="B1" s="4" t="s">
        <v>22</v>
      </c>
      <c r="C1" s="4" t="s">
        <v>23</v>
      </c>
      <c r="D1" s="4" t="s">
        <v>24</v>
      </c>
      <c r="E1" s="4" t="s">
        <v>25</v>
      </c>
      <c r="F1" s="4" t="s">
        <v>26</v>
      </c>
      <c r="G1" s="4" t="s">
        <v>27</v>
      </c>
    </row>
    <row r="2" customFormat="false" ht="23.85" hidden="false" customHeight="false" outlineLevel="0" collapsed="false">
      <c r="A2" s="5" t="s">
        <v>406</v>
      </c>
      <c r="B2" s="11" t="s">
        <v>407</v>
      </c>
      <c r="C2" s="5" t="s">
        <v>408</v>
      </c>
      <c r="D2" s="5" t="s">
        <v>31</v>
      </c>
      <c r="E2" s="5" t="s">
        <v>32</v>
      </c>
      <c r="F2" s="5" t="s">
        <v>33</v>
      </c>
      <c r="G2" s="5" t="s">
        <v>409</v>
      </c>
    </row>
    <row r="3" customFormat="false" ht="23.85" hidden="false" customHeight="false" outlineLevel="0" collapsed="false">
      <c r="A3" s="5" t="s">
        <v>410</v>
      </c>
      <c r="B3" s="11" t="s">
        <v>407</v>
      </c>
      <c r="C3" s="5" t="s">
        <v>411</v>
      </c>
      <c r="D3" s="5" t="s">
        <v>40</v>
      </c>
      <c r="E3" s="5" t="s">
        <v>412</v>
      </c>
      <c r="F3" s="5" t="s">
        <v>33</v>
      </c>
      <c r="G3" s="5" t="s">
        <v>413</v>
      </c>
    </row>
    <row r="4" customFormat="false" ht="15" hidden="false" customHeight="false" outlineLevel="0" collapsed="false">
      <c r="A4" s="5" t="s">
        <v>414</v>
      </c>
      <c r="B4" s="11" t="s">
        <v>407</v>
      </c>
      <c r="C4" s="5" t="s">
        <v>415</v>
      </c>
      <c r="D4" s="5" t="s">
        <v>31</v>
      </c>
      <c r="E4" s="5" t="s">
        <v>32</v>
      </c>
      <c r="F4" s="5" t="s">
        <v>33</v>
      </c>
      <c r="G4" s="5" t="s">
        <v>416</v>
      </c>
    </row>
    <row r="5" customFormat="false" ht="15" hidden="false" customHeight="false" outlineLevel="0" collapsed="false">
      <c r="A5" s="5" t="s">
        <v>417</v>
      </c>
      <c r="B5" s="11" t="s">
        <v>407</v>
      </c>
      <c r="C5" s="5" t="s">
        <v>418</v>
      </c>
      <c r="D5" s="5" t="s">
        <v>31</v>
      </c>
      <c r="E5" s="5" t="s">
        <v>32</v>
      </c>
      <c r="F5" s="5" t="s">
        <v>33</v>
      </c>
      <c r="G5" s="5" t="s">
        <v>340</v>
      </c>
    </row>
    <row r="6" customFormat="false" ht="15" hidden="false" customHeight="false" outlineLevel="0" collapsed="false">
      <c r="A6" s="5" t="s">
        <v>419</v>
      </c>
      <c r="B6" s="11" t="s">
        <v>407</v>
      </c>
      <c r="C6" s="5" t="s">
        <v>420</v>
      </c>
      <c r="D6" s="5" t="s">
        <v>40</v>
      </c>
      <c r="E6" s="5" t="s">
        <v>421</v>
      </c>
      <c r="F6" s="5" t="s">
        <v>166</v>
      </c>
      <c r="G6" s="5" t="s">
        <v>422</v>
      </c>
    </row>
    <row r="7" customFormat="false" ht="23.85" hidden="false" customHeight="false" outlineLevel="0" collapsed="false">
      <c r="A7" s="5" t="s">
        <v>423</v>
      </c>
      <c r="B7" s="6" t="s">
        <v>424</v>
      </c>
      <c r="C7" s="5" t="s">
        <v>425</v>
      </c>
      <c r="D7" s="5" t="s">
        <v>31</v>
      </c>
      <c r="E7" s="5" t="s">
        <v>32</v>
      </c>
      <c r="F7" s="5" t="s">
        <v>33</v>
      </c>
      <c r="G7" s="5" t="s">
        <v>426</v>
      </c>
    </row>
    <row r="8" customFormat="false" ht="15" hidden="false" customHeight="false" outlineLevel="0" collapsed="false">
      <c r="A8" s="5" t="s">
        <v>427</v>
      </c>
      <c r="B8" s="6" t="s">
        <v>424</v>
      </c>
      <c r="C8" s="5" t="s">
        <v>428</v>
      </c>
      <c r="D8" s="5" t="s">
        <v>31</v>
      </c>
      <c r="E8" s="5" t="s">
        <v>32</v>
      </c>
      <c r="F8" s="5" t="s">
        <v>33</v>
      </c>
      <c r="G8" s="5" t="s">
        <v>429</v>
      </c>
    </row>
    <row r="9" customFormat="false" ht="15" hidden="false" customHeight="false" outlineLevel="0" collapsed="false">
      <c r="A9" s="5" t="s">
        <v>430</v>
      </c>
      <c r="B9" s="6" t="s">
        <v>424</v>
      </c>
      <c r="C9" s="5" t="s">
        <v>431</v>
      </c>
      <c r="D9" s="5" t="s">
        <v>95</v>
      </c>
      <c r="E9" s="5" t="s">
        <v>96</v>
      </c>
      <c r="F9" s="5" t="s">
        <v>171</v>
      </c>
      <c r="G9" s="5" t="s">
        <v>432</v>
      </c>
    </row>
    <row r="10" customFormat="false" ht="15" hidden="false" customHeight="false" outlineLevel="0" collapsed="false">
      <c r="A10" s="5" t="s">
        <v>433</v>
      </c>
      <c r="B10" s="6" t="s">
        <v>424</v>
      </c>
      <c r="C10" s="5" t="s">
        <v>434</v>
      </c>
      <c r="D10" s="5" t="s">
        <v>31</v>
      </c>
      <c r="E10" s="5" t="s">
        <v>32</v>
      </c>
      <c r="F10" s="5" t="s">
        <v>33</v>
      </c>
      <c r="G10" s="5" t="s">
        <v>435</v>
      </c>
    </row>
    <row r="11" customFormat="false" ht="23.85" hidden="false" customHeight="false" outlineLevel="0" collapsed="false">
      <c r="A11" s="5" t="s">
        <v>436</v>
      </c>
      <c r="B11" s="9" t="s">
        <v>437</v>
      </c>
      <c r="C11" s="5" t="s">
        <v>438</v>
      </c>
      <c r="D11" s="5" t="s">
        <v>31</v>
      </c>
      <c r="E11" s="5" t="s">
        <v>32</v>
      </c>
      <c r="F11" s="5" t="s">
        <v>33</v>
      </c>
      <c r="G11" s="5" t="s">
        <v>439</v>
      </c>
    </row>
    <row r="12" customFormat="false" ht="23.85" hidden="false" customHeight="false" outlineLevel="0" collapsed="false">
      <c r="A12" s="5" t="s">
        <v>440</v>
      </c>
      <c r="B12" s="9" t="s">
        <v>437</v>
      </c>
      <c r="C12" s="5" t="s">
        <v>441</v>
      </c>
      <c r="D12" s="5" t="s">
        <v>31</v>
      </c>
      <c r="E12" s="5" t="s">
        <v>32</v>
      </c>
      <c r="F12" s="5" t="s">
        <v>33</v>
      </c>
      <c r="G12" s="5" t="s">
        <v>442</v>
      </c>
    </row>
    <row r="13" customFormat="false" ht="23.85" hidden="false" customHeight="false" outlineLevel="0" collapsed="false">
      <c r="A13" s="5" t="s">
        <v>443</v>
      </c>
      <c r="B13" s="9" t="s">
        <v>437</v>
      </c>
      <c r="C13" s="5" t="s">
        <v>444</v>
      </c>
      <c r="D13" s="5" t="s">
        <v>31</v>
      </c>
      <c r="E13" s="5" t="s">
        <v>32</v>
      </c>
      <c r="F13" s="5" t="s">
        <v>33</v>
      </c>
      <c r="G13" s="5" t="s">
        <v>445</v>
      </c>
    </row>
    <row r="14" customFormat="false" ht="23.85" hidden="false" customHeight="false" outlineLevel="0" collapsed="false">
      <c r="A14" s="5" t="s">
        <v>446</v>
      </c>
      <c r="B14" s="9" t="s">
        <v>437</v>
      </c>
      <c r="C14" s="5" t="s">
        <v>447</v>
      </c>
      <c r="D14" s="5" t="s">
        <v>31</v>
      </c>
      <c r="E14" s="5" t="s">
        <v>32</v>
      </c>
      <c r="F14" s="5" t="s">
        <v>33</v>
      </c>
      <c r="G14" s="5" t="s">
        <v>448</v>
      </c>
    </row>
    <row r="15" customFormat="false" ht="23.85" hidden="false" customHeight="false" outlineLevel="0" collapsed="false">
      <c r="A15" s="5" t="s">
        <v>449</v>
      </c>
      <c r="B15" s="9" t="s">
        <v>437</v>
      </c>
      <c r="C15" s="5" t="s">
        <v>450</v>
      </c>
      <c r="D15" s="5" t="s">
        <v>31</v>
      </c>
      <c r="E15" s="5" t="s">
        <v>32</v>
      </c>
      <c r="F15" s="5" t="s">
        <v>33</v>
      </c>
      <c r="G15" s="5" t="s">
        <v>451</v>
      </c>
    </row>
    <row r="16" customFormat="false" ht="23.85" hidden="false" customHeight="false" outlineLevel="0" collapsed="false">
      <c r="A16" s="5" t="s">
        <v>452</v>
      </c>
      <c r="B16" s="9" t="s">
        <v>437</v>
      </c>
      <c r="C16" s="5" t="s">
        <v>453</v>
      </c>
      <c r="D16" s="5" t="s">
        <v>31</v>
      </c>
      <c r="E16" s="5" t="s">
        <v>32</v>
      </c>
      <c r="F16" s="5" t="s">
        <v>33</v>
      </c>
      <c r="G16" s="5" t="s">
        <v>454</v>
      </c>
    </row>
    <row r="17" customFormat="false" ht="15" hidden="false" customHeight="false" outlineLevel="0" collapsed="false">
      <c r="A17" s="5" t="s">
        <v>455</v>
      </c>
      <c r="B17" s="7" t="s">
        <v>456</v>
      </c>
      <c r="C17" s="5" t="s">
        <v>457</v>
      </c>
      <c r="D17" s="5" t="s">
        <v>31</v>
      </c>
      <c r="E17" s="5" t="s">
        <v>32</v>
      </c>
      <c r="F17" s="5" t="s">
        <v>33</v>
      </c>
      <c r="G17" s="5" t="s">
        <v>458</v>
      </c>
    </row>
    <row r="18" customFormat="false" ht="15" hidden="false" customHeight="false" outlineLevel="0" collapsed="false">
      <c r="A18" s="5" t="s">
        <v>459</v>
      </c>
      <c r="B18" s="7" t="s">
        <v>456</v>
      </c>
      <c r="C18" s="5" t="s">
        <v>460</v>
      </c>
      <c r="D18" s="5" t="s">
        <v>31</v>
      </c>
      <c r="E18" s="5" t="s">
        <v>32</v>
      </c>
      <c r="F18" s="5" t="s">
        <v>33</v>
      </c>
      <c r="G18" s="5" t="s">
        <v>461</v>
      </c>
    </row>
    <row r="19" customFormat="false" ht="23.85" hidden="false" customHeight="false" outlineLevel="0" collapsed="false">
      <c r="A19" s="5" t="s">
        <v>462</v>
      </c>
      <c r="B19" s="7" t="s">
        <v>456</v>
      </c>
      <c r="C19" s="5" t="s">
        <v>463</v>
      </c>
      <c r="D19" s="5" t="s">
        <v>31</v>
      </c>
      <c r="E19" s="5" t="s">
        <v>32</v>
      </c>
      <c r="F19" s="5" t="s">
        <v>33</v>
      </c>
      <c r="G19" s="5" t="s">
        <v>464</v>
      </c>
    </row>
    <row r="20" customFormat="false" ht="15" hidden="false" customHeight="false" outlineLevel="0" collapsed="false">
      <c r="A20" s="5" t="s">
        <v>465</v>
      </c>
      <c r="B20" s="7" t="s">
        <v>456</v>
      </c>
      <c r="C20" s="5" t="s">
        <v>466</v>
      </c>
      <c r="D20" s="5" t="s">
        <v>31</v>
      </c>
      <c r="E20" s="5" t="s">
        <v>32</v>
      </c>
      <c r="F20" s="5" t="s">
        <v>33</v>
      </c>
      <c r="G20" s="5" t="s">
        <v>467</v>
      </c>
    </row>
    <row r="21" customFormat="false" ht="15" hidden="false" customHeight="false" outlineLevel="0" collapsed="false">
      <c r="A21" s="5" t="s">
        <v>468</v>
      </c>
      <c r="B21" s="7" t="s">
        <v>456</v>
      </c>
      <c r="C21" s="5" t="s">
        <v>469</v>
      </c>
      <c r="D21" s="5" t="s">
        <v>31</v>
      </c>
      <c r="E21" s="5" t="s">
        <v>470</v>
      </c>
      <c r="F21" s="5" t="s">
        <v>171</v>
      </c>
      <c r="G21" s="5" t="s">
        <v>172</v>
      </c>
    </row>
    <row r="22" customFormat="false" ht="15" hidden="false" customHeight="false" outlineLevel="0" collapsed="false">
      <c r="A22" s="5" t="s">
        <v>471</v>
      </c>
      <c r="B22" s="15" t="s">
        <v>472</v>
      </c>
      <c r="C22" s="5" t="s">
        <v>473</v>
      </c>
      <c r="D22" s="5" t="s">
        <v>31</v>
      </c>
      <c r="E22" s="5" t="s">
        <v>32</v>
      </c>
      <c r="F22" s="5" t="s">
        <v>33</v>
      </c>
      <c r="G22" s="5" t="s">
        <v>474</v>
      </c>
    </row>
    <row r="23" customFormat="false" ht="15" hidden="false" customHeight="false" outlineLevel="0" collapsed="false">
      <c r="A23" s="5" t="s">
        <v>475</v>
      </c>
      <c r="B23" s="15" t="s">
        <v>472</v>
      </c>
      <c r="C23" s="5" t="s">
        <v>476</v>
      </c>
      <c r="D23" s="5" t="s">
        <v>31</v>
      </c>
      <c r="E23" s="5" t="s">
        <v>32</v>
      </c>
      <c r="F23" s="5" t="s">
        <v>33</v>
      </c>
      <c r="G23" s="5" t="s">
        <v>477</v>
      </c>
    </row>
    <row r="24" customFormat="false" ht="15" hidden="false" customHeight="false" outlineLevel="0" collapsed="false">
      <c r="A24" s="5" t="s">
        <v>478</v>
      </c>
      <c r="B24" s="15" t="s">
        <v>472</v>
      </c>
      <c r="C24" s="5" t="s">
        <v>333</v>
      </c>
      <c r="D24" s="5" t="s">
        <v>31</v>
      </c>
      <c r="E24" s="5" t="s">
        <v>32</v>
      </c>
      <c r="F24" s="5" t="s">
        <v>33</v>
      </c>
      <c r="G24" s="5" t="s">
        <v>479</v>
      </c>
    </row>
    <row r="25" customFormat="false" ht="15" hidden="false" customHeight="false" outlineLevel="0" collapsed="false">
      <c r="A25" s="5" t="s">
        <v>480</v>
      </c>
      <c r="B25" s="15" t="s">
        <v>472</v>
      </c>
      <c r="C25" s="5" t="s">
        <v>481</v>
      </c>
      <c r="D25" s="5" t="s">
        <v>31</v>
      </c>
      <c r="E25" s="5" t="s">
        <v>32</v>
      </c>
      <c r="F25" s="5" t="s">
        <v>33</v>
      </c>
      <c r="G25" s="5" t="s">
        <v>461</v>
      </c>
    </row>
    <row r="26" customFormat="false" ht="15" hidden="false" customHeight="false" outlineLevel="0" collapsed="false">
      <c r="A26" s="5" t="s">
        <v>482</v>
      </c>
      <c r="B26" s="12" t="s">
        <v>157</v>
      </c>
      <c r="C26" s="5" t="s">
        <v>483</v>
      </c>
      <c r="D26" s="5" t="s">
        <v>31</v>
      </c>
      <c r="E26" s="5" t="s">
        <v>32</v>
      </c>
      <c r="F26" s="5" t="s">
        <v>33</v>
      </c>
      <c r="G26" s="5" t="s">
        <v>484</v>
      </c>
    </row>
    <row r="27" customFormat="false" ht="15" hidden="false" customHeight="false" outlineLevel="0" collapsed="false">
      <c r="A27" s="5" t="s">
        <v>485</v>
      </c>
      <c r="B27" s="12" t="s">
        <v>157</v>
      </c>
      <c r="C27" s="5" t="s">
        <v>486</v>
      </c>
      <c r="D27" s="5" t="s">
        <v>40</v>
      </c>
      <c r="E27" s="5" t="s">
        <v>487</v>
      </c>
      <c r="F27" s="5" t="s">
        <v>33</v>
      </c>
      <c r="G27" s="5" t="s">
        <v>488</v>
      </c>
    </row>
    <row r="28" customFormat="false" ht="15" hidden="false" customHeight="false" outlineLevel="0" collapsed="false">
      <c r="A28" s="5" t="s">
        <v>489</v>
      </c>
      <c r="B28" s="12" t="s">
        <v>157</v>
      </c>
      <c r="C28" s="5" t="s">
        <v>490</v>
      </c>
      <c r="D28" s="5" t="s">
        <v>31</v>
      </c>
      <c r="E28" s="5" t="s">
        <v>32</v>
      </c>
      <c r="F28" s="5" t="s">
        <v>33</v>
      </c>
      <c r="G28" s="5" t="s">
        <v>491</v>
      </c>
    </row>
    <row r="29" customFormat="false" ht="15" hidden="false" customHeight="false" outlineLevel="0" collapsed="false">
      <c r="A29" s="5" t="s">
        <v>492</v>
      </c>
      <c r="B29" s="12" t="s">
        <v>157</v>
      </c>
      <c r="C29" s="5" t="s">
        <v>164</v>
      </c>
      <c r="D29" s="5" t="s">
        <v>40</v>
      </c>
      <c r="E29" s="5" t="s">
        <v>165</v>
      </c>
      <c r="F29" s="5" t="s">
        <v>166</v>
      </c>
      <c r="G29" s="5" t="s">
        <v>355</v>
      </c>
    </row>
    <row r="30" customFormat="false" ht="15" hidden="false" customHeight="false" outlineLevel="0" collapsed="false">
      <c r="A30" s="5" t="s">
        <v>493</v>
      </c>
      <c r="B30" s="12" t="s">
        <v>157</v>
      </c>
      <c r="C30" s="5" t="s">
        <v>169</v>
      </c>
      <c r="D30" s="5" t="s">
        <v>31</v>
      </c>
      <c r="E30" s="5" t="s">
        <v>170</v>
      </c>
      <c r="F30" s="5" t="s">
        <v>171</v>
      </c>
      <c r="G30" s="5" t="s">
        <v>172</v>
      </c>
    </row>
    <row r="31" customFormat="false" ht="23.85" hidden="false" customHeight="false" outlineLevel="0" collapsed="false">
      <c r="A31" s="5" t="s">
        <v>494</v>
      </c>
      <c r="B31" s="8" t="s">
        <v>495</v>
      </c>
      <c r="C31" s="5" t="s">
        <v>496</v>
      </c>
      <c r="D31" s="5" t="s">
        <v>40</v>
      </c>
      <c r="E31" s="5" t="s">
        <v>497</v>
      </c>
      <c r="F31" s="5" t="s">
        <v>166</v>
      </c>
      <c r="G31" s="5" t="s">
        <v>498</v>
      </c>
    </row>
    <row r="32" customFormat="false" ht="15" hidden="false" customHeight="false" outlineLevel="0" collapsed="false">
      <c r="A32" s="5" t="s">
        <v>499</v>
      </c>
      <c r="B32" s="8" t="s">
        <v>495</v>
      </c>
      <c r="C32" s="5" t="s">
        <v>500</v>
      </c>
      <c r="D32" s="5" t="s">
        <v>95</v>
      </c>
      <c r="E32" s="5" t="s">
        <v>96</v>
      </c>
      <c r="F32" s="5" t="s">
        <v>33</v>
      </c>
      <c r="G32" s="5" t="s">
        <v>501</v>
      </c>
    </row>
    <row r="33" customFormat="false" ht="15" hidden="false" customHeight="false" outlineLevel="0" collapsed="false">
      <c r="A33" s="5" t="s">
        <v>502</v>
      </c>
      <c r="B33" s="8" t="s">
        <v>495</v>
      </c>
      <c r="C33" s="5" t="s">
        <v>503</v>
      </c>
      <c r="D33" s="5" t="s">
        <v>95</v>
      </c>
      <c r="E33" s="5" t="s">
        <v>96</v>
      </c>
      <c r="F33" s="5" t="s">
        <v>33</v>
      </c>
      <c r="G33" s="5" t="s">
        <v>504</v>
      </c>
    </row>
    <row r="34" customFormat="false" ht="15" hidden="false" customHeight="false" outlineLevel="0" collapsed="false">
      <c r="A34" s="5" t="s">
        <v>505</v>
      </c>
      <c r="B34" s="8" t="s">
        <v>495</v>
      </c>
      <c r="C34" s="5" t="s">
        <v>506</v>
      </c>
      <c r="D34" s="5" t="s">
        <v>40</v>
      </c>
      <c r="E34" s="5" t="s">
        <v>507</v>
      </c>
      <c r="F34" s="5" t="s">
        <v>166</v>
      </c>
      <c r="G34" s="5" t="s">
        <v>508</v>
      </c>
    </row>
    <row r="35" customFormat="false" ht="15" hidden="false" customHeight="false" outlineLevel="0" collapsed="false">
      <c r="A35" s="5" t="s">
        <v>509</v>
      </c>
      <c r="B35" s="10" t="s">
        <v>74</v>
      </c>
      <c r="C35" s="5" t="s">
        <v>510</v>
      </c>
      <c r="D35" s="5" t="s">
        <v>31</v>
      </c>
      <c r="E35" s="5" t="s">
        <v>32</v>
      </c>
      <c r="F35" s="5" t="s">
        <v>33</v>
      </c>
      <c r="G35" s="5" t="s">
        <v>511</v>
      </c>
    </row>
    <row r="36" customFormat="false" ht="15" hidden="false" customHeight="false" outlineLevel="0" collapsed="false">
      <c r="A36" s="5" t="s">
        <v>512</v>
      </c>
      <c r="B36" s="10" t="s">
        <v>74</v>
      </c>
      <c r="C36" s="5" t="s">
        <v>513</v>
      </c>
      <c r="D36" s="5" t="s">
        <v>31</v>
      </c>
      <c r="E36" s="5" t="s">
        <v>32</v>
      </c>
      <c r="F36" s="5" t="s">
        <v>33</v>
      </c>
      <c r="G36" s="5" t="s">
        <v>514</v>
      </c>
    </row>
    <row r="37" customFormat="false" ht="23.85" hidden="false" customHeight="false" outlineLevel="0" collapsed="false">
      <c r="A37" s="5" t="s">
        <v>515</v>
      </c>
      <c r="B37" s="10" t="s">
        <v>74</v>
      </c>
      <c r="C37" s="5" t="s">
        <v>516</v>
      </c>
      <c r="D37" s="5" t="s">
        <v>31</v>
      </c>
      <c r="E37" s="5" t="s">
        <v>32</v>
      </c>
      <c r="F37" s="5" t="s">
        <v>33</v>
      </c>
      <c r="G37" s="5" t="s">
        <v>517</v>
      </c>
    </row>
    <row r="38" customFormat="false" ht="23.85" hidden="false" customHeight="false" outlineLevel="0" collapsed="false">
      <c r="A38" s="5" t="s">
        <v>518</v>
      </c>
      <c r="B38" s="16" t="s">
        <v>519</v>
      </c>
      <c r="C38" s="5" t="s">
        <v>63</v>
      </c>
      <c r="D38" s="5" t="s">
        <v>31</v>
      </c>
      <c r="E38" s="5" t="s">
        <v>32</v>
      </c>
      <c r="F38" s="5" t="s">
        <v>33</v>
      </c>
      <c r="G38" s="5" t="s">
        <v>520</v>
      </c>
    </row>
    <row r="39" customFormat="false" ht="15" hidden="false" customHeight="false" outlineLevel="0" collapsed="false">
      <c r="A39" s="5" t="s">
        <v>521</v>
      </c>
      <c r="B39" s="16" t="s">
        <v>519</v>
      </c>
      <c r="C39" s="5" t="s">
        <v>522</v>
      </c>
      <c r="D39" s="5" t="s">
        <v>31</v>
      </c>
      <c r="E39" s="5" t="s">
        <v>32</v>
      </c>
      <c r="F39" s="5" t="s">
        <v>33</v>
      </c>
      <c r="G39" s="5" t="s">
        <v>523</v>
      </c>
    </row>
    <row r="40" customFormat="false" ht="15" hidden="false" customHeight="false" outlineLevel="0" collapsed="false">
      <c r="A40" s="5" t="s">
        <v>524</v>
      </c>
      <c r="B40" s="16" t="s">
        <v>519</v>
      </c>
      <c r="C40" s="5" t="s">
        <v>525</v>
      </c>
      <c r="D40" s="5" t="s">
        <v>31</v>
      </c>
      <c r="E40" s="5" t="s">
        <v>32</v>
      </c>
      <c r="F40" s="5" t="s">
        <v>33</v>
      </c>
      <c r="G40" s="5" t="s">
        <v>526</v>
      </c>
    </row>
    <row r="41" customFormat="false" ht="15" hidden="false" customHeight="false" outlineLevel="0" collapsed="false">
      <c r="A41" s="5" t="s">
        <v>527</v>
      </c>
      <c r="B41" s="14" t="s">
        <v>528</v>
      </c>
      <c r="C41" s="5" t="s">
        <v>529</v>
      </c>
      <c r="D41" s="5" t="s">
        <v>31</v>
      </c>
      <c r="E41" s="5" t="s">
        <v>32</v>
      </c>
      <c r="F41" s="5" t="s">
        <v>33</v>
      </c>
      <c r="G41" s="5" t="s">
        <v>530</v>
      </c>
    </row>
    <row r="42" customFormat="false" ht="15" hidden="false" customHeight="false" outlineLevel="0" collapsed="false">
      <c r="A42" s="5" t="s">
        <v>531</v>
      </c>
      <c r="B42" s="14" t="s">
        <v>528</v>
      </c>
      <c r="C42" s="5" t="s">
        <v>532</v>
      </c>
      <c r="D42" s="5" t="s">
        <v>95</v>
      </c>
      <c r="E42" s="5" t="s">
        <v>96</v>
      </c>
      <c r="F42" s="5" t="s">
        <v>33</v>
      </c>
      <c r="G42" s="5" t="s">
        <v>461</v>
      </c>
    </row>
    <row r="43" customFormat="false" ht="23.85" hidden="false" customHeight="false" outlineLevel="0" collapsed="false">
      <c r="A43" s="5" t="s">
        <v>533</v>
      </c>
      <c r="B43" s="14" t="s">
        <v>528</v>
      </c>
      <c r="C43" s="5" t="s">
        <v>534</v>
      </c>
      <c r="D43" s="5" t="s">
        <v>31</v>
      </c>
      <c r="E43" s="5" t="s">
        <v>32</v>
      </c>
      <c r="F43" s="5" t="s">
        <v>33</v>
      </c>
      <c r="G43" s="5" t="s">
        <v>535</v>
      </c>
    </row>
    <row r="44" customFormat="false" ht="15" hidden="false" customHeight="false" outlineLevel="0" collapsed="false">
      <c r="A44" s="5" t="s">
        <v>536</v>
      </c>
      <c r="B44" s="14" t="s">
        <v>528</v>
      </c>
      <c r="C44" s="5" t="s">
        <v>297</v>
      </c>
      <c r="D44" s="5" t="s">
        <v>40</v>
      </c>
      <c r="E44" s="5" t="s">
        <v>298</v>
      </c>
      <c r="F44" s="5" t="s">
        <v>33</v>
      </c>
      <c r="G44" s="5" t="s">
        <v>537</v>
      </c>
    </row>
    <row r="45" customFormat="false" ht="15" hidden="false" customHeight="false" outlineLevel="0" collapsed="false">
      <c r="A45" s="5" t="s">
        <v>538</v>
      </c>
      <c r="B45" s="14" t="s">
        <v>528</v>
      </c>
      <c r="C45" s="5" t="s">
        <v>539</v>
      </c>
      <c r="D45" s="5" t="s">
        <v>31</v>
      </c>
      <c r="E45" s="5" t="s">
        <v>32</v>
      </c>
      <c r="F45" s="5" t="s">
        <v>33</v>
      </c>
      <c r="G45" s="5" t="s">
        <v>540</v>
      </c>
    </row>
    <row r="46" customFormat="false" ht="35.05" hidden="false" customHeight="false" outlineLevel="0" collapsed="false">
      <c r="A46" s="5" t="s">
        <v>541</v>
      </c>
      <c r="B46" s="17" t="s">
        <v>374</v>
      </c>
      <c r="C46" s="5" t="s">
        <v>380</v>
      </c>
      <c r="D46" s="5" t="s">
        <v>40</v>
      </c>
      <c r="E46" s="5" t="s">
        <v>381</v>
      </c>
      <c r="F46" s="5" t="s">
        <v>377</v>
      </c>
      <c r="G46" s="5" t="s">
        <v>542</v>
      </c>
    </row>
    <row r="47" customFormat="false" ht="15" hidden="false" customHeight="false" outlineLevel="0" collapsed="false">
      <c r="A47" s="5" t="s">
        <v>543</v>
      </c>
      <c r="B47" s="13" t="s">
        <v>174</v>
      </c>
      <c r="C47" s="5" t="s">
        <v>184</v>
      </c>
      <c r="D47" s="5" t="s">
        <v>40</v>
      </c>
      <c r="E47" s="5" t="s">
        <v>185</v>
      </c>
      <c r="F47" s="5" t="s">
        <v>177</v>
      </c>
      <c r="G47" s="5" t="s">
        <v>186</v>
      </c>
    </row>
    <row r="48" customFormat="false" ht="15" hidden="false" customHeight="false" outlineLevel="0" collapsed="false">
      <c r="A48" s="5" t="s">
        <v>544</v>
      </c>
      <c r="B48" s="13" t="s">
        <v>174</v>
      </c>
      <c r="C48" s="5" t="s">
        <v>180</v>
      </c>
      <c r="D48" s="5" t="s">
        <v>40</v>
      </c>
      <c r="E48" s="5" t="s">
        <v>181</v>
      </c>
      <c r="F48" s="5" t="s">
        <v>177</v>
      </c>
      <c r="G48" s="5" t="s">
        <v>545</v>
      </c>
    </row>
    <row r="49" customFormat="false" ht="15" hidden="false" customHeight="false" outlineLevel="0" collapsed="false">
      <c r="A49" s="5" t="s">
        <v>546</v>
      </c>
      <c r="B49" s="13" t="s">
        <v>174</v>
      </c>
      <c r="C49" s="5" t="s">
        <v>188</v>
      </c>
      <c r="D49" s="5" t="s">
        <v>95</v>
      </c>
      <c r="E49" s="5" t="s">
        <v>96</v>
      </c>
      <c r="F49" s="5" t="s">
        <v>171</v>
      </c>
      <c r="G49" s="5" t="s">
        <v>189</v>
      </c>
    </row>
    <row r="50" customFormat="false" ht="15" hidden="false" customHeight="false" outlineLevel="0" collapsed="false">
      <c r="A50" s="5" t="s">
        <v>547</v>
      </c>
      <c r="B50" s="13" t="s">
        <v>174</v>
      </c>
      <c r="C50" s="5" t="s">
        <v>548</v>
      </c>
      <c r="D50" s="5" t="s">
        <v>95</v>
      </c>
      <c r="E50" s="5" t="s">
        <v>96</v>
      </c>
      <c r="F50" s="5" t="s">
        <v>171</v>
      </c>
      <c r="G50" s="5" t="s">
        <v>400</v>
      </c>
    </row>
    <row r="51" customFormat="false" ht="15" hidden="false" customHeight="false" outlineLevel="0" collapsed="false">
      <c r="A51" s="5" t="s">
        <v>549</v>
      </c>
      <c r="B51" s="13" t="s">
        <v>174</v>
      </c>
      <c r="C51" s="5" t="s">
        <v>191</v>
      </c>
      <c r="D51" s="5" t="s">
        <v>95</v>
      </c>
      <c r="E51" s="5" t="s">
        <v>96</v>
      </c>
      <c r="F51" s="5" t="s">
        <v>177</v>
      </c>
      <c r="G51" s="5" t="s">
        <v>192</v>
      </c>
    </row>
    <row r="52" customFormat="false" ht="15" hidden="false" customHeight="false" outlineLevel="0" collapsed="false">
      <c r="A52" s="5" t="s">
        <v>550</v>
      </c>
      <c r="B52" s="13" t="s">
        <v>174</v>
      </c>
      <c r="C52" s="5" t="s">
        <v>392</v>
      </c>
      <c r="D52" s="5" t="s">
        <v>40</v>
      </c>
      <c r="E52" s="5" t="s">
        <v>393</v>
      </c>
      <c r="F52" s="5" t="s">
        <v>171</v>
      </c>
      <c r="G52" s="5" t="s">
        <v>400</v>
      </c>
    </row>
    <row r="53" customFormat="false" ht="15" hidden="false" customHeight="false" outlineLevel="0" collapsed="false">
      <c r="A53" s="5" t="s">
        <v>551</v>
      </c>
      <c r="B53" s="13" t="s">
        <v>174</v>
      </c>
      <c r="C53" s="5" t="s">
        <v>194</v>
      </c>
      <c r="D53" s="5" t="s">
        <v>40</v>
      </c>
      <c r="E53" s="5" t="s">
        <v>195</v>
      </c>
      <c r="F53" s="5" t="s">
        <v>177</v>
      </c>
      <c r="G53" s="5" t="s">
        <v>552</v>
      </c>
    </row>
    <row r="54" customFormat="false" ht="15" hidden="false" customHeight="false" outlineLevel="0" collapsed="false">
      <c r="A54" s="5" t="s">
        <v>553</v>
      </c>
      <c r="B54" s="13" t="s">
        <v>174</v>
      </c>
      <c r="C54" s="5" t="s">
        <v>554</v>
      </c>
      <c r="D54" s="5" t="s">
        <v>95</v>
      </c>
      <c r="E54" s="5" t="s">
        <v>96</v>
      </c>
      <c r="F54" s="5" t="s">
        <v>171</v>
      </c>
      <c r="G54" s="5" t="s">
        <v>199</v>
      </c>
    </row>
    <row r="55" customFormat="false" ht="15" hidden="false" customHeight="false" outlineLevel="0" collapsed="false">
      <c r="A55" s="5" t="s">
        <v>555</v>
      </c>
      <c r="B55" s="18" t="s">
        <v>201</v>
      </c>
      <c r="C55" s="5" t="s">
        <v>208</v>
      </c>
      <c r="D55" s="5" t="s">
        <v>40</v>
      </c>
      <c r="E55" s="5" t="s">
        <v>209</v>
      </c>
      <c r="F55" s="5" t="s">
        <v>171</v>
      </c>
      <c r="G55" s="5" t="s">
        <v>203</v>
      </c>
    </row>
    <row r="56" customFormat="false" ht="15" hidden="false" customHeight="false" outlineLevel="0" collapsed="false">
      <c r="A56" s="5" t="s">
        <v>556</v>
      </c>
      <c r="B56" s="18" t="s">
        <v>201</v>
      </c>
      <c r="C56" s="5" t="s">
        <v>402</v>
      </c>
      <c r="D56" s="5" t="s">
        <v>31</v>
      </c>
      <c r="E56" s="5" t="s">
        <v>32</v>
      </c>
      <c r="F56" s="5" t="s">
        <v>33</v>
      </c>
      <c r="G56" s="5" t="s">
        <v>203</v>
      </c>
    </row>
    <row r="57" customFormat="false" ht="15" hidden="false" customHeight="false" outlineLevel="0" collapsed="false">
      <c r="A57" s="5" t="s">
        <v>557</v>
      </c>
      <c r="B57" s="18" t="s">
        <v>201</v>
      </c>
      <c r="C57" s="5" t="s">
        <v>404</v>
      </c>
      <c r="D57" s="5" t="s">
        <v>31</v>
      </c>
      <c r="E57" s="5" t="s">
        <v>170</v>
      </c>
      <c r="F57" s="5" t="s">
        <v>171</v>
      </c>
      <c r="G57" s="5" t="s">
        <v>172</v>
      </c>
    </row>
  </sheetData>
  <autoFilter ref="A1:G57"/>
  <dataValidations count="1">
    <dataValidation allowBlank="false" error="Choose Slider, Radio, or Checkbox" errorStyle="stop" operator="between" showDropDown="false" showErrorMessage="true" showInputMessage="false" sqref="D2:D57" type="list">
      <formula1>"Slider,Radio,Checkbox"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2"/>
  </cols>
  <sheetData>
    <row r="1" customFormat="false" ht="17.35" hidden="false" customHeight="false" outlineLevel="0" collapsed="false">
      <c r="A1" s="19" t="s">
        <v>558</v>
      </c>
    </row>
    <row r="3" customFormat="false" ht="15" hidden="false" customHeight="false" outlineLevel="0" collapsed="false">
      <c r="A3" s="20" t="s">
        <v>559</v>
      </c>
    </row>
    <row r="4" customFormat="false" ht="15" hidden="false" customHeight="false" outlineLevel="0" collapsed="false">
      <c r="A4" s="21" t="s">
        <v>560</v>
      </c>
    </row>
    <row r="5" customFormat="false" ht="15" hidden="false" customHeight="false" outlineLevel="0" collapsed="false">
      <c r="A5" s="22" t="s">
        <v>24</v>
      </c>
      <c r="B5" s="22" t="s">
        <v>561</v>
      </c>
    </row>
    <row r="6" customFormat="false" ht="15" hidden="false" customHeight="false" outlineLevel="0" collapsed="false">
      <c r="A6" s="23" t="s">
        <v>31</v>
      </c>
      <c r="B6" s="23" t="n">
        <f aca="false">COUNTIF('Anxiety Symptoms'!$D$2:$D$54,A6)</f>
        <v>33</v>
      </c>
    </row>
    <row r="7" customFormat="false" ht="15" hidden="false" customHeight="false" outlineLevel="0" collapsed="false">
      <c r="A7" s="23" t="s">
        <v>40</v>
      </c>
      <c r="B7" s="23" t="n">
        <f aca="false">COUNTIF('Anxiety Symptoms'!$D$2:$D$54,A7)</f>
        <v>8</v>
      </c>
    </row>
    <row r="8" customFormat="false" ht="15" hidden="false" customHeight="false" outlineLevel="0" collapsed="false">
      <c r="A8" s="23" t="s">
        <v>95</v>
      </c>
      <c r="B8" s="23" t="n">
        <f aca="false">COUNTIF('Anxiety Symptoms'!$D$2:$D$54,A8)</f>
        <v>12</v>
      </c>
    </row>
    <row r="9" customFormat="false" ht="15" hidden="false" customHeight="false" outlineLevel="0" collapsed="false">
      <c r="A9" s="21" t="s">
        <v>562</v>
      </c>
      <c r="B9" s="21" t="n">
        <f aca="false">SUM(B6:B8)</f>
        <v>53</v>
      </c>
    </row>
    <row r="11" customFormat="false" ht="15" hidden="false" customHeight="false" outlineLevel="0" collapsed="false">
      <c r="A11" s="21" t="s">
        <v>563</v>
      </c>
    </row>
    <row r="12" customFormat="false" ht="15" hidden="false" customHeight="false" outlineLevel="0" collapsed="false">
      <c r="A12" s="22" t="s">
        <v>22</v>
      </c>
      <c r="B12" s="22" t="s">
        <v>562</v>
      </c>
      <c r="C12" s="22" t="s">
        <v>31</v>
      </c>
      <c r="D12" s="22" t="s">
        <v>40</v>
      </c>
      <c r="E12" s="22" t="s">
        <v>95</v>
      </c>
    </row>
    <row r="13" customFormat="false" ht="15" hidden="false" customHeight="false" outlineLevel="0" collapsed="false">
      <c r="A13" s="24" t="s">
        <v>29</v>
      </c>
      <c r="B13" s="23" t="n">
        <f aca="false">COUNTIF('Anxiety Symptoms'!$B$2:$B$54,A13)</f>
        <v>7</v>
      </c>
      <c r="C13" s="23" t="n">
        <f aca="false">COUNTIFS('Anxiety Symptoms'!$B$2:$B$54,$A13,'Anxiety Symptoms'!$D$2:$D$54,C$12)</f>
        <v>6</v>
      </c>
      <c r="D13" s="23" t="n">
        <f aca="false">COUNTIFS('Anxiety Symptoms'!$B$2:$B$54,$A13,'Anxiety Symptoms'!$D$2:$D$54,D$12)</f>
        <v>1</v>
      </c>
      <c r="E13" s="23" t="n">
        <f aca="false">COUNTIFS('Anxiety Symptoms'!$B$2:$B$54,$A13,'Anxiety Symptoms'!$D$2:$D$54,E$12)</f>
        <v>0</v>
      </c>
    </row>
    <row r="14" customFormat="false" ht="15" hidden="false" customHeight="false" outlineLevel="0" collapsed="false">
      <c r="A14" s="25" t="s">
        <v>56</v>
      </c>
      <c r="B14" s="23" t="n">
        <f aca="false">COUNTIF('Anxiety Symptoms'!$B$2:$B$54,A14)</f>
        <v>6</v>
      </c>
      <c r="C14" s="23" t="n">
        <f aca="false">COUNTIFS('Anxiety Symptoms'!$B$2:$B$54,$A14,'Anxiety Symptoms'!$D$2:$D$54,C$12)</f>
        <v>6</v>
      </c>
      <c r="D14" s="23" t="n">
        <f aca="false">COUNTIFS('Anxiety Symptoms'!$B$2:$B$54,$A14,'Anxiety Symptoms'!$D$2:$D$54,D$12)</f>
        <v>0</v>
      </c>
      <c r="E14" s="23" t="n">
        <f aca="false">COUNTIFS('Anxiety Symptoms'!$B$2:$B$54,$A14,'Anxiety Symptoms'!$D$2:$D$54,E$12)</f>
        <v>0</v>
      </c>
    </row>
    <row r="15" customFormat="false" ht="15" hidden="false" customHeight="false" outlineLevel="0" collapsed="false">
      <c r="A15" s="26" t="s">
        <v>74</v>
      </c>
      <c r="B15" s="23" t="n">
        <f aca="false">COUNTIF('Anxiety Symptoms'!$B$2:$B$54,A15)</f>
        <v>8</v>
      </c>
      <c r="C15" s="23" t="n">
        <f aca="false">COUNTIFS('Anxiety Symptoms'!$B$2:$B$54,$A15,'Anxiety Symptoms'!$D$2:$D$54,C$12)</f>
        <v>7</v>
      </c>
      <c r="D15" s="23" t="n">
        <f aca="false">COUNTIFS('Anxiety Symptoms'!$B$2:$B$54,$A15,'Anxiety Symptoms'!$D$2:$D$54,D$12)</f>
        <v>0</v>
      </c>
      <c r="E15" s="23" t="n">
        <f aca="false">COUNTIFS('Anxiety Symptoms'!$B$2:$B$54,$A15,'Anxiety Symptoms'!$D$2:$D$54,E$12)</f>
        <v>1</v>
      </c>
    </row>
    <row r="16" customFormat="false" ht="15" hidden="false" customHeight="false" outlineLevel="0" collapsed="false">
      <c r="A16" s="27" t="s">
        <v>99</v>
      </c>
      <c r="B16" s="23" t="n">
        <f aca="false">COUNTIF('Anxiety Symptoms'!$B$2:$B$54,A16)</f>
        <v>8</v>
      </c>
      <c r="C16" s="23" t="n">
        <f aca="false">COUNTIFS('Anxiety Symptoms'!$B$2:$B$54,$A16,'Anxiety Symptoms'!$D$2:$D$54,C$12)</f>
        <v>4</v>
      </c>
      <c r="D16" s="23" t="n">
        <f aca="false">COUNTIFS('Anxiety Symptoms'!$B$2:$B$54,$A16,'Anxiety Symptoms'!$D$2:$D$54,D$12)</f>
        <v>0</v>
      </c>
      <c r="E16" s="23" t="n">
        <f aca="false">COUNTIFS('Anxiety Symptoms'!$B$2:$B$54,$A16,'Anxiety Symptoms'!$D$2:$D$54,E$12)</f>
        <v>4</v>
      </c>
    </row>
    <row r="17" customFormat="false" ht="15" hidden="false" customHeight="false" outlineLevel="0" collapsed="false">
      <c r="A17" s="28" t="s">
        <v>124</v>
      </c>
      <c r="B17" s="23" t="n">
        <f aca="false">COUNTIF('Anxiety Symptoms'!$B$2:$B$54,A17)</f>
        <v>5</v>
      </c>
      <c r="C17" s="23" t="n">
        <f aca="false">COUNTIFS('Anxiety Symptoms'!$B$2:$B$54,$A17,'Anxiety Symptoms'!$D$2:$D$54,C$12)</f>
        <v>5</v>
      </c>
      <c r="D17" s="23" t="n">
        <f aca="false">COUNTIFS('Anxiety Symptoms'!$B$2:$B$54,$A17,'Anxiety Symptoms'!$D$2:$D$54,D$12)</f>
        <v>0</v>
      </c>
      <c r="E17" s="23" t="n">
        <f aca="false">COUNTIFS('Anxiety Symptoms'!$B$2:$B$54,$A17,'Anxiety Symptoms'!$D$2:$D$54,E$12)</f>
        <v>0</v>
      </c>
    </row>
    <row r="18" customFormat="false" ht="15" hidden="false" customHeight="false" outlineLevel="0" collapsed="false">
      <c r="A18" s="29" t="s">
        <v>140</v>
      </c>
      <c r="B18" s="23" t="n">
        <f aca="false">COUNTIF('Anxiety Symptoms'!$B$2:$B$54,A18)</f>
        <v>5</v>
      </c>
      <c r="C18" s="23" t="n">
        <f aca="false">COUNTIFS('Anxiety Symptoms'!$B$2:$B$54,$A18,'Anxiety Symptoms'!$D$2:$D$54,C$12)</f>
        <v>1</v>
      </c>
      <c r="D18" s="23" t="n">
        <f aca="false">COUNTIFS('Anxiety Symptoms'!$B$2:$B$54,$A18,'Anxiety Symptoms'!$D$2:$D$54,D$12)</f>
        <v>1</v>
      </c>
      <c r="E18" s="23" t="n">
        <f aca="false">COUNTIFS('Anxiety Symptoms'!$B$2:$B$54,$A18,'Anxiety Symptoms'!$D$2:$D$54,E$12)</f>
        <v>3</v>
      </c>
    </row>
    <row r="19" customFormat="false" ht="15" hidden="false" customHeight="false" outlineLevel="0" collapsed="false">
      <c r="A19" s="30" t="s">
        <v>157</v>
      </c>
      <c r="B19" s="23" t="n">
        <f aca="false">COUNTIF('Anxiety Symptoms'!$B$2:$B$54,A19)</f>
        <v>4</v>
      </c>
      <c r="C19" s="23" t="n">
        <f aca="false">COUNTIFS('Anxiety Symptoms'!$B$2:$B$54,$A19,'Anxiety Symptoms'!$D$2:$D$54,C$12)</f>
        <v>2</v>
      </c>
      <c r="D19" s="23" t="n">
        <f aca="false">COUNTIFS('Anxiety Symptoms'!$B$2:$B$54,$A19,'Anxiety Symptoms'!$D$2:$D$54,D$12)</f>
        <v>1</v>
      </c>
      <c r="E19" s="23" t="n">
        <f aca="false">COUNTIFS('Anxiety Symptoms'!$B$2:$B$54,$A19,'Anxiety Symptoms'!$D$2:$D$54,E$12)</f>
        <v>1</v>
      </c>
    </row>
    <row r="20" customFormat="false" ht="15" hidden="false" customHeight="false" outlineLevel="0" collapsed="false">
      <c r="A20" s="31" t="s">
        <v>174</v>
      </c>
      <c r="B20" s="23" t="n">
        <f aca="false">COUNTIF('Anxiety Symptoms'!$B$2:$B$54,A20)</f>
        <v>7</v>
      </c>
      <c r="C20" s="23" t="n">
        <f aca="false">COUNTIFS('Anxiety Symptoms'!$B$2:$B$54,$A20,'Anxiety Symptoms'!$D$2:$D$54,C$12)</f>
        <v>0</v>
      </c>
      <c r="D20" s="23" t="n">
        <f aca="false">COUNTIFS('Anxiety Symptoms'!$B$2:$B$54,$A20,'Anxiety Symptoms'!$D$2:$D$54,D$12)</f>
        <v>4</v>
      </c>
      <c r="E20" s="23" t="n">
        <f aca="false">COUNTIFS('Anxiety Symptoms'!$B$2:$B$54,$A20,'Anxiety Symptoms'!$D$2:$D$54,E$12)</f>
        <v>3</v>
      </c>
    </row>
    <row r="21" customFormat="false" ht="15" hidden="false" customHeight="false" outlineLevel="0" collapsed="false">
      <c r="A21" s="32" t="s">
        <v>201</v>
      </c>
      <c r="B21" s="23" t="n">
        <f aca="false">COUNTIF('Anxiety Symptoms'!$B$2:$B$54,A21)</f>
        <v>3</v>
      </c>
      <c r="C21" s="23" t="n">
        <f aca="false">COUNTIFS('Anxiety Symptoms'!$B$2:$B$54,$A21,'Anxiety Symptoms'!$D$2:$D$54,C$12)</f>
        <v>2</v>
      </c>
      <c r="D21" s="23" t="n">
        <f aca="false">COUNTIFS('Anxiety Symptoms'!$B$2:$B$54,$A21,'Anxiety Symptoms'!$D$2:$D$54,D$12)</f>
        <v>1</v>
      </c>
      <c r="E21" s="23" t="n">
        <f aca="false">COUNTIFS('Anxiety Symptoms'!$B$2:$B$54,$A21,'Anxiety Symptoms'!$D$2:$D$54,E$12)</f>
        <v>0</v>
      </c>
    </row>
    <row r="22" customFormat="false" ht="15" hidden="false" customHeight="false" outlineLevel="0" collapsed="false">
      <c r="A22" s="21" t="s">
        <v>562</v>
      </c>
      <c r="B22" s="21" t="n">
        <f aca="false">SUM(B13:B21)</f>
        <v>53</v>
      </c>
      <c r="C22" s="21" t="n">
        <f aca="false">SUM(C13:C21)</f>
        <v>33</v>
      </c>
      <c r="D22" s="21" t="n">
        <f aca="false">SUM(D13:D21)</f>
        <v>8</v>
      </c>
      <c r="E22" s="21" t="n">
        <f aca="false">SUM(E13:E21)</f>
        <v>12</v>
      </c>
    </row>
    <row r="25" customFormat="false" ht="15" hidden="false" customHeight="false" outlineLevel="0" collapsed="false">
      <c r="A25" s="20" t="s">
        <v>564</v>
      </c>
    </row>
    <row r="26" customFormat="false" ht="15" hidden="false" customHeight="false" outlineLevel="0" collapsed="false">
      <c r="A26" s="21" t="s">
        <v>560</v>
      </c>
    </row>
    <row r="27" customFormat="false" ht="15" hidden="false" customHeight="false" outlineLevel="0" collapsed="false">
      <c r="A27" s="22" t="s">
        <v>24</v>
      </c>
      <c r="B27" s="22" t="s">
        <v>561</v>
      </c>
    </row>
    <row r="28" customFormat="false" ht="15" hidden="false" customHeight="false" outlineLevel="0" collapsed="false">
      <c r="A28" s="23" t="s">
        <v>31</v>
      </c>
      <c r="B28" s="23" t="n">
        <f aca="false">COUNTIF('Schizophrenia Symptoms'!$D$2:$D$64,A28)</f>
        <v>35</v>
      </c>
    </row>
    <row r="29" customFormat="false" ht="15" hidden="false" customHeight="false" outlineLevel="0" collapsed="false">
      <c r="A29" s="23" t="s">
        <v>40</v>
      </c>
      <c r="B29" s="23" t="n">
        <f aca="false">COUNTIF('Schizophrenia Symptoms'!$D$2:$D$64,A29)</f>
        <v>12</v>
      </c>
    </row>
    <row r="30" customFormat="false" ht="15" hidden="false" customHeight="false" outlineLevel="0" collapsed="false">
      <c r="A30" s="23" t="s">
        <v>95</v>
      </c>
      <c r="B30" s="23" t="n">
        <f aca="false">COUNTIF('Schizophrenia Symptoms'!$D$2:$D$64,A30)</f>
        <v>16</v>
      </c>
    </row>
    <row r="31" customFormat="false" ht="15" hidden="false" customHeight="false" outlineLevel="0" collapsed="false">
      <c r="A31" s="21" t="s">
        <v>562</v>
      </c>
      <c r="B31" s="21" t="n">
        <f aca="false">SUM(B28:B30)</f>
        <v>63</v>
      </c>
    </row>
    <row r="33" customFormat="false" ht="15" hidden="false" customHeight="false" outlineLevel="0" collapsed="false">
      <c r="A33" s="21" t="s">
        <v>563</v>
      </c>
    </row>
    <row r="34" customFormat="false" ht="15" hidden="false" customHeight="false" outlineLevel="0" collapsed="false">
      <c r="A34" s="22" t="s">
        <v>22</v>
      </c>
      <c r="B34" s="22" t="s">
        <v>562</v>
      </c>
      <c r="C34" s="22" t="s">
        <v>31</v>
      </c>
      <c r="D34" s="22" t="s">
        <v>40</v>
      </c>
      <c r="E34" s="22" t="s">
        <v>95</v>
      </c>
    </row>
    <row r="35" customFormat="false" ht="15" hidden="false" customHeight="false" outlineLevel="0" collapsed="false">
      <c r="A35" s="24" t="s">
        <v>211</v>
      </c>
      <c r="B35" s="23" t="n">
        <f aca="false">COUNTIF('Schizophrenia Symptoms'!$B$2:$B$64,A35)</f>
        <v>6</v>
      </c>
      <c r="C35" s="23" t="n">
        <f aca="false">COUNTIFS('Schizophrenia Symptoms'!$B$2:$B$64,$A35,'Schizophrenia Symptoms'!$D$2:$D$64,C$34)</f>
        <v>2</v>
      </c>
      <c r="D35" s="23" t="n">
        <f aca="false">COUNTIFS('Schizophrenia Symptoms'!$B$2:$B$64,$A35,'Schizophrenia Symptoms'!$D$2:$D$64,D$34)</f>
        <v>2</v>
      </c>
      <c r="E35" s="23" t="n">
        <f aca="false">COUNTIFS('Schizophrenia Symptoms'!$B$2:$B$64,$A35,'Schizophrenia Symptoms'!$D$2:$D$64,E$34)</f>
        <v>2</v>
      </c>
    </row>
    <row r="36" customFormat="false" ht="15" hidden="false" customHeight="false" outlineLevel="0" collapsed="false">
      <c r="A36" s="25" t="s">
        <v>231</v>
      </c>
      <c r="B36" s="23" t="n">
        <f aca="false">COUNTIF('Schizophrenia Symptoms'!$B$2:$B$64,A36)</f>
        <v>8</v>
      </c>
      <c r="C36" s="23" t="n">
        <f aca="false">COUNTIFS('Schizophrenia Symptoms'!$B$2:$B$64,$A36,'Schizophrenia Symptoms'!$D$2:$D$64,C$34)</f>
        <v>6</v>
      </c>
      <c r="D36" s="23" t="n">
        <f aca="false">COUNTIFS('Schizophrenia Symptoms'!$B$2:$B$64,$A36,'Schizophrenia Symptoms'!$D$2:$D$64,D$34)</f>
        <v>0</v>
      </c>
      <c r="E36" s="23" t="n">
        <f aca="false">COUNTIFS('Schizophrenia Symptoms'!$B$2:$B$64,$A36,'Schizophrenia Symptoms'!$D$2:$D$64,E$34)</f>
        <v>2</v>
      </c>
    </row>
    <row r="37" customFormat="false" ht="15" hidden="false" customHeight="false" outlineLevel="0" collapsed="false">
      <c r="A37" s="26" t="s">
        <v>257</v>
      </c>
      <c r="B37" s="23" t="n">
        <f aca="false">COUNTIF('Schizophrenia Symptoms'!$B$2:$B$64,A37)</f>
        <v>5</v>
      </c>
      <c r="C37" s="23" t="n">
        <f aca="false">COUNTIFS('Schizophrenia Symptoms'!$B$2:$B$64,$A37,'Schizophrenia Symptoms'!$D$2:$D$64,C$34)</f>
        <v>2</v>
      </c>
      <c r="D37" s="23" t="n">
        <f aca="false">COUNTIFS('Schizophrenia Symptoms'!$B$2:$B$64,$A37,'Schizophrenia Symptoms'!$D$2:$D$64,D$34)</f>
        <v>1</v>
      </c>
      <c r="E37" s="23" t="n">
        <f aca="false">COUNTIFS('Schizophrenia Symptoms'!$B$2:$B$64,$A37,'Schizophrenia Symptoms'!$D$2:$D$64,E$34)</f>
        <v>2</v>
      </c>
    </row>
    <row r="38" customFormat="false" ht="15" hidden="false" customHeight="false" outlineLevel="0" collapsed="false">
      <c r="A38" s="27" t="s">
        <v>274</v>
      </c>
      <c r="B38" s="23" t="n">
        <f aca="false">COUNTIF('Schizophrenia Symptoms'!$B$2:$B$64,A38)</f>
        <v>3</v>
      </c>
      <c r="C38" s="23" t="n">
        <f aca="false">COUNTIFS('Schizophrenia Symptoms'!$B$2:$B$64,$A38,'Schizophrenia Symptoms'!$D$2:$D$64,C$34)</f>
        <v>1</v>
      </c>
      <c r="D38" s="23" t="n">
        <f aca="false">COUNTIFS('Schizophrenia Symptoms'!$B$2:$B$64,$A38,'Schizophrenia Symptoms'!$D$2:$D$64,D$34)</f>
        <v>0</v>
      </c>
      <c r="E38" s="23" t="n">
        <f aca="false">COUNTIFS('Schizophrenia Symptoms'!$B$2:$B$64,$A38,'Schizophrenia Symptoms'!$D$2:$D$64,E$34)</f>
        <v>2</v>
      </c>
    </row>
    <row r="39" customFormat="false" ht="15" hidden="false" customHeight="false" outlineLevel="0" collapsed="false">
      <c r="A39" s="28" t="s">
        <v>284</v>
      </c>
      <c r="B39" s="23" t="n">
        <f aca="false">COUNTIF('Schizophrenia Symptoms'!$B$2:$B$64,A39)</f>
        <v>6</v>
      </c>
      <c r="C39" s="23" t="n">
        <f aca="false">COUNTIFS('Schizophrenia Symptoms'!$B$2:$B$64,$A39,'Schizophrenia Symptoms'!$D$2:$D$64,C$34)</f>
        <v>5</v>
      </c>
      <c r="D39" s="23" t="n">
        <f aca="false">COUNTIFS('Schizophrenia Symptoms'!$B$2:$B$64,$A39,'Schizophrenia Symptoms'!$D$2:$D$64,D$34)</f>
        <v>1</v>
      </c>
      <c r="E39" s="23" t="n">
        <f aca="false">COUNTIFS('Schizophrenia Symptoms'!$B$2:$B$64,$A39,'Schizophrenia Symptoms'!$D$2:$D$64,E$34)</f>
        <v>0</v>
      </c>
    </row>
    <row r="40" customFormat="false" ht="15" hidden="false" customHeight="false" outlineLevel="0" collapsed="false">
      <c r="A40" s="29" t="s">
        <v>304</v>
      </c>
      <c r="B40" s="23" t="n">
        <f aca="false">COUNTIF('Schizophrenia Symptoms'!$B$2:$B$64,A40)</f>
        <v>6</v>
      </c>
      <c r="C40" s="23" t="n">
        <f aca="false">COUNTIFS('Schizophrenia Symptoms'!$B$2:$B$64,$A40,'Schizophrenia Symptoms'!$D$2:$D$64,C$34)</f>
        <v>4</v>
      </c>
      <c r="D40" s="23" t="n">
        <f aca="false">COUNTIFS('Schizophrenia Symptoms'!$B$2:$B$64,$A40,'Schizophrenia Symptoms'!$D$2:$D$64,D$34)</f>
        <v>1</v>
      </c>
      <c r="E40" s="23" t="n">
        <f aca="false">COUNTIFS('Schizophrenia Symptoms'!$B$2:$B$64,$A40,'Schizophrenia Symptoms'!$D$2:$D$64,E$34)</f>
        <v>1</v>
      </c>
    </row>
    <row r="41" customFormat="false" ht="15" hidden="false" customHeight="false" outlineLevel="0" collapsed="false">
      <c r="A41" s="30" t="s">
        <v>323</v>
      </c>
      <c r="B41" s="23" t="n">
        <f aca="false">COUNTIF('Schizophrenia Symptoms'!$B$2:$B$64,A41)</f>
        <v>6</v>
      </c>
      <c r="C41" s="23" t="n">
        <f aca="false">COUNTIFS('Schizophrenia Symptoms'!$B$2:$B$64,$A41,'Schizophrenia Symptoms'!$D$2:$D$64,C$34)</f>
        <v>6</v>
      </c>
      <c r="D41" s="23" t="n">
        <f aca="false">COUNTIFS('Schizophrenia Symptoms'!$B$2:$B$64,$A41,'Schizophrenia Symptoms'!$D$2:$D$64,D$34)</f>
        <v>0</v>
      </c>
      <c r="E41" s="23" t="n">
        <f aca="false">COUNTIFS('Schizophrenia Symptoms'!$B$2:$B$64,$A41,'Schizophrenia Symptoms'!$D$2:$D$64,E$34)</f>
        <v>0</v>
      </c>
    </row>
    <row r="42" customFormat="false" ht="15" hidden="false" customHeight="false" outlineLevel="0" collapsed="false">
      <c r="A42" s="33" t="s">
        <v>342</v>
      </c>
      <c r="B42" s="23" t="n">
        <f aca="false">COUNTIF('Schizophrenia Symptoms'!$B$2:$B$64,A42)</f>
        <v>6</v>
      </c>
      <c r="C42" s="23" t="n">
        <f aca="false">COUNTIFS('Schizophrenia Symptoms'!$B$2:$B$64,$A42,'Schizophrenia Symptoms'!$D$2:$D$64,C$34)</f>
        <v>5</v>
      </c>
      <c r="D42" s="23" t="n">
        <f aca="false">COUNTIFS('Schizophrenia Symptoms'!$B$2:$B$64,$A42,'Schizophrenia Symptoms'!$D$2:$D$64,D$34)</f>
        <v>1</v>
      </c>
      <c r="E42" s="23" t="n">
        <f aca="false">COUNTIFS('Schizophrenia Symptoms'!$B$2:$B$64,$A42,'Schizophrenia Symptoms'!$D$2:$D$64,E$34)</f>
        <v>0</v>
      </c>
    </row>
    <row r="43" customFormat="false" ht="15" hidden="false" customHeight="false" outlineLevel="0" collapsed="false">
      <c r="A43" s="34" t="s">
        <v>358</v>
      </c>
      <c r="B43" s="23" t="n">
        <f aca="false">COUNTIF('Schizophrenia Symptoms'!$B$2:$B$64,A43)</f>
        <v>5</v>
      </c>
      <c r="C43" s="23" t="n">
        <f aca="false">COUNTIFS('Schizophrenia Symptoms'!$B$2:$B$64,$A43,'Schizophrenia Symptoms'!$D$2:$D$64,C$34)</f>
        <v>2</v>
      </c>
      <c r="D43" s="23" t="n">
        <f aca="false">COUNTIFS('Schizophrenia Symptoms'!$B$2:$B$64,$A43,'Schizophrenia Symptoms'!$D$2:$D$64,D$34)</f>
        <v>0</v>
      </c>
      <c r="E43" s="23" t="n">
        <f aca="false">COUNTIFS('Schizophrenia Symptoms'!$B$2:$B$64,$A43,'Schizophrenia Symptoms'!$D$2:$D$64,E$34)</f>
        <v>3</v>
      </c>
    </row>
    <row r="44" customFormat="false" ht="15" hidden="false" customHeight="false" outlineLevel="0" collapsed="false">
      <c r="A44" s="35" t="s">
        <v>374</v>
      </c>
      <c r="B44" s="23" t="n">
        <f aca="false">COUNTIF('Schizophrenia Symptoms'!$B$2:$B$64,A44)</f>
        <v>2</v>
      </c>
      <c r="C44" s="23" t="n">
        <f aca="false">COUNTIFS('Schizophrenia Symptoms'!$B$2:$B$64,$A44,'Schizophrenia Symptoms'!$D$2:$D$64,C$34)</f>
        <v>0</v>
      </c>
      <c r="D44" s="23" t="n">
        <f aca="false">COUNTIFS('Schizophrenia Symptoms'!$B$2:$B$64,$A44,'Schizophrenia Symptoms'!$D$2:$D$64,D$34)</f>
        <v>2</v>
      </c>
      <c r="E44" s="23" t="n">
        <f aca="false">COUNTIFS('Schizophrenia Symptoms'!$B$2:$B$64,$A44,'Schizophrenia Symptoms'!$D$2:$D$64,E$34)</f>
        <v>0</v>
      </c>
    </row>
    <row r="45" customFormat="false" ht="15" hidden="false" customHeight="false" outlineLevel="0" collapsed="false">
      <c r="A45" s="31" t="s">
        <v>384</v>
      </c>
      <c r="B45" s="23" t="n">
        <f aca="false">COUNTIF('Schizophrenia Symptoms'!$B$2:$B$64,A45)</f>
        <v>7</v>
      </c>
      <c r="C45" s="23" t="n">
        <f aca="false">COUNTIFS('Schizophrenia Symptoms'!$B$2:$B$64,$A45,'Schizophrenia Symptoms'!$D$2:$D$64,C$34)</f>
        <v>0</v>
      </c>
      <c r="D45" s="23" t="n">
        <f aca="false">COUNTIFS('Schizophrenia Symptoms'!$B$2:$B$64,$A45,'Schizophrenia Symptoms'!$D$2:$D$64,D$34)</f>
        <v>3</v>
      </c>
      <c r="E45" s="23" t="n">
        <f aca="false">COUNTIFS('Schizophrenia Symptoms'!$B$2:$B$64,$A45,'Schizophrenia Symptoms'!$D$2:$D$64,E$34)</f>
        <v>4</v>
      </c>
    </row>
    <row r="46" customFormat="false" ht="15" hidden="false" customHeight="false" outlineLevel="0" collapsed="false">
      <c r="A46" s="32" t="s">
        <v>201</v>
      </c>
      <c r="B46" s="23" t="n">
        <f aca="false">COUNTIF('Schizophrenia Symptoms'!$B$2:$B$64,A46)</f>
        <v>3</v>
      </c>
      <c r="C46" s="23" t="n">
        <f aca="false">COUNTIFS('Schizophrenia Symptoms'!$B$2:$B$64,$A46,'Schizophrenia Symptoms'!$D$2:$D$64,C$34)</f>
        <v>2</v>
      </c>
      <c r="D46" s="23" t="n">
        <f aca="false">COUNTIFS('Schizophrenia Symptoms'!$B$2:$B$64,$A46,'Schizophrenia Symptoms'!$D$2:$D$64,D$34)</f>
        <v>1</v>
      </c>
      <c r="E46" s="23" t="n">
        <f aca="false">COUNTIFS('Schizophrenia Symptoms'!$B$2:$B$64,$A46,'Schizophrenia Symptoms'!$D$2:$D$64,E$34)</f>
        <v>0</v>
      </c>
    </row>
    <row r="47" customFormat="false" ht="15" hidden="false" customHeight="false" outlineLevel="0" collapsed="false">
      <c r="A47" s="21" t="s">
        <v>562</v>
      </c>
      <c r="B47" s="21" t="n">
        <f aca="false">SUM(B35:B46)</f>
        <v>63</v>
      </c>
      <c r="C47" s="21" t="n">
        <f aca="false">SUM(C35:C46)</f>
        <v>35</v>
      </c>
      <c r="D47" s="21" t="n">
        <f aca="false">SUM(D35:D46)</f>
        <v>12</v>
      </c>
      <c r="E47" s="21" t="n">
        <f aca="false">SUM(E35:E46)</f>
        <v>16</v>
      </c>
    </row>
    <row r="50" customFormat="false" ht="15" hidden="false" customHeight="false" outlineLevel="0" collapsed="false">
      <c r="A50" s="20" t="s">
        <v>565</v>
      </c>
    </row>
    <row r="51" customFormat="false" ht="15" hidden="false" customHeight="false" outlineLevel="0" collapsed="false">
      <c r="A51" s="21" t="s">
        <v>560</v>
      </c>
    </row>
    <row r="52" customFormat="false" ht="15" hidden="false" customHeight="false" outlineLevel="0" collapsed="false">
      <c r="A52" s="22" t="s">
        <v>24</v>
      </c>
      <c r="B52" s="22" t="s">
        <v>561</v>
      </c>
    </row>
    <row r="53" customFormat="false" ht="15" hidden="false" customHeight="false" outlineLevel="0" collapsed="false">
      <c r="A53" s="23" t="s">
        <v>31</v>
      </c>
      <c r="B53" s="23" t="n">
        <f aca="false">COUNTIF('Depression Symptoms'!$D$2:$D$57,A53)</f>
        <v>35</v>
      </c>
    </row>
    <row r="54" customFormat="false" ht="15" hidden="false" customHeight="false" outlineLevel="0" collapsed="false">
      <c r="A54" s="23" t="s">
        <v>40</v>
      </c>
      <c r="B54" s="23" t="n">
        <f aca="false">COUNTIF('Depression Symptoms'!$D$2:$D$57,A54)</f>
        <v>13</v>
      </c>
    </row>
    <row r="55" customFormat="false" ht="15" hidden="false" customHeight="false" outlineLevel="0" collapsed="false">
      <c r="A55" s="23" t="s">
        <v>95</v>
      </c>
      <c r="B55" s="23" t="n">
        <f aca="false">COUNTIF('Depression Symptoms'!$D$2:$D$57,A55)</f>
        <v>8</v>
      </c>
    </row>
    <row r="56" customFormat="false" ht="15" hidden="false" customHeight="false" outlineLevel="0" collapsed="false">
      <c r="A56" s="21" t="s">
        <v>562</v>
      </c>
      <c r="B56" s="21" t="n">
        <f aca="false">SUM(B53:B55)</f>
        <v>56</v>
      </c>
    </row>
    <row r="58" customFormat="false" ht="15" hidden="false" customHeight="false" outlineLevel="0" collapsed="false">
      <c r="A58" s="21" t="s">
        <v>563</v>
      </c>
    </row>
    <row r="59" customFormat="false" ht="15" hidden="false" customHeight="false" outlineLevel="0" collapsed="false">
      <c r="A59" s="22" t="s">
        <v>22</v>
      </c>
      <c r="B59" s="22" t="s">
        <v>562</v>
      </c>
      <c r="C59" s="22" t="s">
        <v>31</v>
      </c>
      <c r="D59" s="22" t="s">
        <v>40</v>
      </c>
      <c r="E59" s="22" t="s">
        <v>95</v>
      </c>
    </row>
    <row r="60" customFormat="false" ht="15" hidden="false" customHeight="false" outlineLevel="0" collapsed="false">
      <c r="A60" s="29" t="s">
        <v>407</v>
      </c>
      <c r="B60" s="23" t="n">
        <f aca="false">COUNTIF('Depression Symptoms'!$B$2:$B$57,A60)</f>
        <v>5</v>
      </c>
      <c r="C60" s="23" t="n">
        <f aca="false">COUNTIFS('Depression Symptoms'!$B$2:$B$57,$A60,'Depression Symptoms'!$D$2:$D$57,C$59)</f>
        <v>3</v>
      </c>
      <c r="D60" s="23" t="n">
        <f aca="false">COUNTIFS('Depression Symptoms'!$B$2:$B$57,$A60,'Depression Symptoms'!$D$2:$D$57,D$59)</f>
        <v>2</v>
      </c>
      <c r="E60" s="23" t="n">
        <f aca="false">COUNTIFS('Depression Symptoms'!$B$2:$B$57,$A60,'Depression Symptoms'!$D$2:$D$57,E$59)</f>
        <v>0</v>
      </c>
    </row>
    <row r="61" customFormat="false" ht="15" hidden="false" customHeight="false" outlineLevel="0" collapsed="false">
      <c r="A61" s="24" t="s">
        <v>424</v>
      </c>
      <c r="B61" s="23" t="n">
        <f aca="false">COUNTIF('Depression Symptoms'!$B$2:$B$57,A61)</f>
        <v>4</v>
      </c>
      <c r="C61" s="23" t="n">
        <f aca="false">COUNTIFS('Depression Symptoms'!$B$2:$B$57,$A61,'Depression Symptoms'!$D$2:$D$57,C$59)</f>
        <v>3</v>
      </c>
      <c r="D61" s="23" t="n">
        <f aca="false">COUNTIFS('Depression Symptoms'!$B$2:$B$57,$A61,'Depression Symptoms'!$D$2:$D$57,D$59)</f>
        <v>0</v>
      </c>
      <c r="E61" s="23" t="n">
        <f aca="false">COUNTIFS('Depression Symptoms'!$B$2:$B$57,$A61,'Depression Symptoms'!$D$2:$D$57,E$59)</f>
        <v>1</v>
      </c>
    </row>
    <row r="62" customFormat="false" ht="15" hidden="false" customHeight="false" outlineLevel="0" collapsed="false">
      <c r="A62" s="27" t="s">
        <v>437</v>
      </c>
      <c r="B62" s="23" t="n">
        <f aca="false">COUNTIF('Depression Symptoms'!$B$2:$B$57,A62)</f>
        <v>6</v>
      </c>
      <c r="C62" s="23" t="n">
        <f aca="false">COUNTIFS('Depression Symptoms'!$B$2:$B$57,$A62,'Depression Symptoms'!$D$2:$D$57,C$59)</f>
        <v>6</v>
      </c>
      <c r="D62" s="23" t="n">
        <f aca="false">COUNTIFS('Depression Symptoms'!$B$2:$B$57,$A62,'Depression Symptoms'!$D$2:$D$57,D$59)</f>
        <v>0</v>
      </c>
      <c r="E62" s="23" t="n">
        <f aca="false">COUNTIFS('Depression Symptoms'!$B$2:$B$57,$A62,'Depression Symptoms'!$D$2:$D$57,E$59)</f>
        <v>0</v>
      </c>
    </row>
    <row r="63" customFormat="false" ht="15" hidden="false" customHeight="false" outlineLevel="0" collapsed="false">
      <c r="A63" s="25" t="s">
        <v>456</v>
      </c>
      <c r="B63" s="23" t="n">
        <f aca="false">COUNTIF('Depression Symptoms'!$B$2:$B$57,A63)</f>
        <v>5</v>
      </c>
      <c r="C63" s="23" t="n">
        <f aca="false">COUNTIFS('Depression Symptoms'!$B$2:$B$57,$A63,'Depression Symptoms'!$D$2:$D$57,C$59)</f>
        <v>5</v>
      </c>
      <c r="D63" s="23" t="n">
        <f aca="false">COUNTIFS('Depression Symptoms'!$B$2:$B$57,$A63,'Depression Symptoms'!$D$2:$D$57,D$59)</f>
        <v>0</v>
      </c>
      <c r="E63" s="23" t="n">
        <f aca="false">COUNTIFS('Depression Symptoms'!$B$2:$B$57,$A63,'Depression Symptoms'!$D$2:$D$57,E$59)</f>
        <v>0</v>
      </c>
    </row>
    <row r="64" customFormat="false" ht="15" hidden="false" customHeight="false" outlineLevel="0" collapsed="false">
      <c r="A64" s="33" t="s">
        <v>472</v>
      </c>
      <c r="B64" s="23" t="n">
        <f aca="false">COUNTIF('Depression Symptoms'!$B$2:$B$57,A64)</f>
        <v>4</v>
      </c>
      <c r="C64" s="23" t="n">
        <f aca="false">COUNTIFS('Depression Symptoms'!$B$2:$B$57,$A64,'Depression Symptoms'!$D$2:$D$57,C$59)</f>
        <v>4</v>
      </c>
      <c r="D64" s="23" t="n">
        <f aca="false">COUNTIFS('Depression Symptoms'!$B$2:$B$57,$A64,'Depression Symptoms'!$D$2:$D$57,D$59)</f>
        <v>0</v>
      </c>
      <c r="E64" s="23" t="n">
        <f aca="false">COUNTIFS('Depression Symptoms'!$B$2:$B$57,$A64,'Depression Symptoms'!$D$2:$D$57,E$59)</f>
        <v>0</v>
      </c>
    </row>
    <row r="65" customFormat="false" ht="15" hidden="false" customHeight="false" outlineLevel="0" collapsed="false">
      <c r="A65" s="30" t="s">
        <v>157</v>
      </c>
      <c r="B65" s="23" t="n">
        <f aca="false">COUNTIF('Depression Symptoms'!$B$2:$B$57,A65)</f>
        <v>5</v>
      </c>
      <c r="C65" s="23" t="n">
        <f aca="false">COUNTIFS('Depression Symptoms'!$B$2:$B$57,$A65,'Depression Symptoms'!$D$2:$D$57,C$59)</f>
        <v>3</v>
      </c>
      <c r="D65" s="23" t="n">
        <f aca="false">COUNTIFS('Depression Symptoms'!$B$2:$B$57,$A65,'Depression Symptoms'!$D$2:$D$57,D$59)</f>
        <v>2</v>
      </c>
      <c r="E65" s="23" t="n">
        <f aca="false">COUNTIFS('Depression Symptoms'!$B$2:$B$57,$A65,'Depression Symptoms'!$D$2:$D$57,E$59)</f>
        <v>0</v>
      </c>
    </row>
    <row r="66" customFormat="false" ht="15" hidden="false" customHeight="false" outlineLevel="0" collapsed="false">
      <c r="A66" s="26" t="s">
        <v>495</v>
      </c>
      <c r="B66" s="23" t="n">
        <f aca="false">COUNTIF('Depression Symptoms'!$B$2:$B$57,A66)</f>
        <v>4</v>
      </c>
      <c r="C66" s="23" t="n">
        <f aca="false">COUNTIFS('Depression Symptoms'!$B$2:$B$57,$A66,'Depression Symptoms'!$D$2:$D$57,C$59)</f>
        <v>0</v>
      </c>
      <c r="D66" s="23" t="n">
        <f aca="false">COUNTIFS('Depression Symptoms'!$B$2:$B$57,$A66,'Depression Symptoms'!$D$2:$D$57,D$59)</f>
        <v>2</v>
      </c>
      <c r="E66" s="23" t="n">
        <f aca="false">COUNTIFS('Depression Symptoms'!$B$2:$B$57,$A66,'Depression Symptoms'!$D$2:$D$57,E$59)</f>
        <v>2</v>
      </c>
    </row>
    <row r="67" customFormat="false" ht="15" hidden="false" customHeight="false" outlineLevel="0" collapsed="false">
      <c r="A67" s="28" t="s">
        <v>74</v>
      </c>
      <c r="B67" s="23" t="n">
        <f aca="false">COUNTIF('Depression Symptoms'!$B$2:$B$57,A67)</f>
        <v>3</v>
      </c>
      <c r="C67" s="23" t="n">
        <f aca="false">COUNTIFS('Depression Symptoms'!$B$2:$B$57,$A67,'Depression Symptoms'!$D$2:$D$57,C$59)</f>
        <v>3</v>
      </c>
      <c r="D67" s="23" t="n">
        <f aca="false">COUNTIFS('Depression Symptoms'!$B$2:$B$57,$A67,'Depression Symptoms'!$D$2:$D$57,D$59)</f>
        <v>0</v>
      </c>
      <c r="E67" s="23" t="n">
        <f aca="false">COUNTIFS('Depression Symptoms'!$B$2:$B$57,$A67,'Depression Symptoms'!$D$2:$D$57,E$59)</f>
        <v>0</v>
      </c>
    </row>
    <row r="68" customFormat="false" ht="15" hidden="false" customHeight="false" outlineLevel="0" collapsed="false">
      <c r="A68" s="34" t="s">
        <v>519</v>
      </c>
      <c r="B68" s="23" t="n">
        <f aca="false">COUNTIF('Depression Symptoms'!$B$2:$B$57,A68)</f>
        <v>3</v>
      </c>
      <c r="C68" s="23" t="n">
        <f aca="false">COUNTIFS('Depression Symptoms'!$B$2:$B$57,$A68,'Depression Symptoms'!$D$2:$D$57,C$59)</f>
        <v>3</v>
      </c>
      <c r="D68" s="23" t="n">
        <f aca="false">COUNTIFS('Depression Symptoms'!$B$2:$B$57,$A68,'Depression Symptoms'!$D$2:$D$57,D$59)</f>
        <v>0</v>
      </c>
      <c r="E68" s="23" t="n">
        <f aca="false">COUNTIFS('Depression Symptoms'!$B$2:$B$57,$A68,'Depression Symptoms'!$D$2:$D$57,E$59)</f>
        <v>0</v>
      </c>
    </row>
    <row r="69" customFormat="false" ht="15" hidden="false" customHeight="false" outlineLevel="0" collapsed="false">
      <c r="A69" s="32" t="s">
        <v>528</v>
      </c>
      <c r="B69" s="23" t="n">
        <f aca="false">COUNTIF('Depression Symptoms'!$B$2:$B$57,A69)</f>
        <v>5</v>
      </c>
      <c r="C69" s="23" t="n">
        <f aca="false">COUNTIFS('Depression Symptoms'!$B$2:$B$57,$A69,'Depression Symptoms'!$D$2:$D$57,C$59)</f>
        <v>3</v>
      </c>
      <c r="D69" s="23" t="n">
        <f aca="false">COUNTIFS('Depression Symptoms'!$B$2:$B$57,$A69,'Depression Symptoms'!$D$2:$D$57,D$59)</f>
        <v>1</v>
      </c>
      <c r="E69" s="23" t="n">
        <f aca="false">COUNTIFS('Depression Symptoms'!$B$2:$B$57,$A69,'Depression Symptoms'!$D$2:$D$57,E$59)</f>
        <v>1</v>
      </c>
    </row>
    <row r="70" customFormat="false" ht="15" hidden="false" customHeight="false" outlineLevel="0" collapsed="false">
      <c r="A70" s="35" t="s">
        <v>374</v>
      </c>
      <c r="B70" s="23" t="n">
        <f aca="false">COUNTIF('Depression Symptoms'!$B$2:$B$57,A70)</f>
        <v>1</v>
      </c>
      <c r="C70" s="23" t="n">
        <f aca="false">COUNTIFS('Depression Symptoms'!$B$2:$B$57,$A70,'Depression Symptoms'!$D$2:$D$57,C$59)</f>
        <v>0</v>
      </c>
      <c r="D70" s="23" t="n">
        <f aca="false">COUNTIFS('Depression Symptoms'!$B$2:$B$57,$A70,'Depression Symptoms'!$D$2:$D$57,D$59)</f>
        <v>1</v>
      </c>
      <c r="E70" s="23" t="n">
        <f aca="false">COUNTIFS('Depression Symptoms'!$B$2:$B$57,$A70,'Depression Symptoms'!$D$2:$D$57,E$59)</f>
        <v>0</v>
      </c>
    </row>
    <row r="71" customFormat="false" ht="15" hidden="false" customHeight="false" outlineLevel="0" collapsed="false">
      <c r="A71" s="31" t="s">
        <v>174</v>
      </c>
      <c r="B71" s="23" t="n">
        <f aca="false">COUNTIF('Depression Symptoms'!$B$2:$B$57,A71)</f>
        <v>8</v>
      </c>
      <c r="C71" s="23" t="n">
        <f aca="false">COUNTIFS('Depression Symptoms'!$B$2:$B$57,$A71,'Depression Symptoms'!$D$2:$D$57,C$59)</f>
        <v>0</v>
      </c>
      <c r="D71" s="23" t="n">
        <f aca="false">COUNTIFS('Depression Symptoms'!$B$2:$B$57,$A71,'Depression Symptoms'!$D$2:$D$57,D$59)</f>
        <v>4</v>
      </c>
      <c r="E71" s="23" t="n">
        <f aca="false">COUNTIFS('Depression Symptoms'!$B$2:$B$57,$A71,'Depression Symptoms'!$D$2:$D$57,E$59)</f>
        <v>4</v>
      </c>
    </row>
    <row r="72" customFormat="false" ht="15" hidden="false" customHeight="false" outlineLevel="0" collapsed="false">
      <c r="A72" s="36" t="s">
        <v>201</v>
      </c>
      <c r="B72" s="23" t="n">
        <f aca="false">COUNTIF('Depression Symptoms'!$B$2:$B$57,A72)</f>
        <v>3</v>
      </c>
      <c r="C72" s="23" t="n">
        <f aca="false">COUNTIFS('Depression Symptoms'!$B$2:$B$57,$A72,'Depression Symptoms'!$D$2:$D$57,C$59)</f>
        <v>2</v>
      </c>
      <c r="D72" s="23" t="n">
        <f aca="false">COUNTIFS('Depression Symptoms'!$B$2:$B$57,$A72,'Depression Symptoms'!$D$2:$D$57,D$59)</f>
        <v>1</v>
      </c>
      <c r="E72" s="23" t="n">
        <f aca="false">COUNTIFS('Depression Symptoms'!$B$2:$B$57,$A72,'Depression Symptoms'!$D$2:$D$57,E$59)</f>
        <v>0</v>
      </c>
    </row>
    <row r="73" customFormat="false" ht="15" hidden="false" customHeight="false" outlineLevel="0" collapsed="false">
      <c r="A73" s="21" t="s">
        <v>562</v>
      </c>
      <c r="B73" s="21" t="n">
        <f aca="false">SUM(B60:B72)</f>
        <v>56</v>
      </c>
      <c r="C73" s="21" t="n">
        <f aca="false">SUM(C60:C72)</f>
        <v>35</v>
      </c>
      <c r="D73" s="21" t="n">
        <f aca="false">SUM(D60:D72)</f>
        <v>13</v>
      </c>
      <c r="E73" s="21" t="n">
        <f aca="false">SUM(E60:E72)</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2026-10-13T12:47:33Z</dcterms:created>
  <dc:creator>openpyxl</dc:creator>
  <dc:description/>
  <dc:language>en-US</dc:language>
  <cp:lastModifiedBy/>
  <dcterms:modified xsi:type="dcterms:W3CDTF">2026-10-13T12:47:33Z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