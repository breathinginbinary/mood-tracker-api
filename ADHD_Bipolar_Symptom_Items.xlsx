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DHD Symptoms" sheetId="2" state="visible" r:id="rId4"/>
    <sheet name="ADHD Summary" sheetId="3" state="visible" r:id="rId5"/>
    <sheet name="Bipolar Symptoms" sheetId="4" state="visible" r:id="rId6"/>
    <sheet name="Bipolar Summary" sheetId="5" state="visible" r:id="rId7"/>
    <sheet name="Cross-Reference" sheetId="6" state="visible" r:id="rId8"/>
  </sheets>
  <definedNames>
    <definedName function="false" hidden="true" localSheetId="1" name="_xlnm._FilterDatabase" vbProcedure="false">'ADHD Symptoms'!$A$1:$G$65</definedName>
    <definedName function="false" hidden="true" localSheetId="3" name="_xlnm._FilterDatabase" vbProcedure="false">'Bipolar Symptoms'!$A$1:$G$57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<sst xmlns="http://schemas.openxmlformats.org/spreadsheetml/2006/main" count="1456" uniqueCount="473">
  <si>
    <t xml:space="preserve">Mood Tracker Symptom Items: ADHD and Bipolar</t>
  </si>
  <si>
    <t xml:space="preserve">What this is</t>
  </si>
  <si>
    <t xml:space="preserve">Starter lists of ADHD and bipolar disorder symptoms plus general health items, each tagged with a suggested input type for a mood tracker app. Edit freely: change wording, swap input types, or delete rows.</t>
  </si>
  <si>
    <t xml:space="preserve">Tabs</t>
  </si>
  <si>
    <t xml:space="preserve">ADHD Symptoms / ADHD Summary: 64 items for ADHD, with counts by input type and category.</t>
  </si>
  <si>
    <t xml:space="preserve">Bipolar Symptoms / Bipolar Summary: items for bipolar disorder (manic/hypomanic, depressive, mixed features, sleep, safety check-in, context), with the same counts.</t>
  </si>
  <si>
    <t xml:space="preserve">Cross-Reference: every item from both lists placed in one of three sections: ADHD only, Bipolar only, or Either / general health. Overlap rows show how each condition tends to differ.</t>
  </si>
  <si>
    <t xml:space="preserve">How the columns work</t>
  </si>
  <si>
    <t xml:space="preserve">Input Type: Slider = rate on a 0-10 scale; Radio = pick one option; Checkbox = tick if it happened today. Change it using the dropdown; the summaries update automatically.</t>
  </si>
  <si>
    <t xml:space="preserve">Scale / Options: for sliders, the end labels; for radio, the options separated by ' | '; for checkboxes, what a tick means.</t>
  </si>
  <si>
    <t xml:space="preserve">Higher Score Means: whether a higher value is worse (symptom) or better (e.g. energy, sleep). Bipolar items also say which pole they belong to (elevated or depressive).</t>
  </si>
  <si>
    <t xml:space="preserve">Where the items come from</t>
  </si>
  <si>
    <t xml:space="preserve">ADHD: DSM-5 inattention and hyperactivity-impulsivity domains, plus executive function and emotional regulation, which adult ADHD research treats as central. Source: 'The structure of adult ADHD', Int J Methods Psychiatr Res, 2017 (https://pmc.ncbi.nlm.nih.gov/articles/PMC5405726).</t>
  </si>
  <si>
    <t xml:space="preserve">Bipolar: based on DSM-5 criteria for manic, hypomanic, and major depressive episodes, plus mixed features. I did not run a fresh source search for the bipolar list; it is built from the standard DSM-5 criteria, so please have a clinician review it before it ships in the app.</t>
  </si>
  <si>
    <t xml:space="preserve">Sleep, energy, and context items are common tracker additions, not diagnostic criteria.</t>
  </si>
  <si>
    <t xml:space="preserve">Important</t>
  </si>
  <si>
    <t xml:space="preserve">This is for self-tracking and pattern-spotting, not for diagnosis. The bipolar list includes a 'thoughts of death or harming myself' item (Safety Check-in). The app should respond to any positive answer with crisis resources (US: call or text 988) rather than only logging it.</t>
  </si>
  <si>
    <t xml:space="preserve">ID</t>
  </si>
  <si>
    <t xml:space="preserve">Category</t>
  </si>
  <si>
    <t xml:space="preserve">Symptom / Prompt (as shown in app)</t>
  </si>
  <si>
    <t xml:space="preserve">Input Type</t>
  </si>
  <si>
    <t xml:space="preserve">Scale / Options</t>
  </si>
  <si>
    <t xml:space="preserve">Higher Score Means</t>
  </si>
  <si>
    <t xml:space="preserve">Notes</t>
  </si>
  <si>
    <t xml:space="preserve">S001</t>
  </si>
  <si>
    <t xml:space="preserve">Inattention</t>
  </si>
  <si>
    <t xml:space="preserve">Difficulty sustaining focus on a task</t>
  </si>
  <si>
    <t xml:space="preserve">Slider</t>
  </si>
  <si>
    <t xml:space="preserve">0 = Not at all, 10 = Severe</t>
  </si>
  <si>
    <t xml:space="preserve">Higher = more symptom</t>
  </si>
  <si>
    <t xml:space="preserve">DSM-5 inattention domain</t>
  </si>
  <si>
    <t xml:space="preserve">S002</t>
  </si>
  <si>
    <t xml:space="preserve">Easily distracted by noises or things around me</t>
  </si>
  <si>
    <t xml:space="preserve">S003</t>
  </si>
  <si>
    <t xml:space="preserve">Mind wandering during conversations or meetings</t>
  </si>
  <si>
    <t xml:space="preserve">S004</t>
  </si>
  <si>
    <t xml:space="preserve">Zoned out when someone was talking to me</t>
  </si>
  <si>
    <t xml:space="preserve">Radio</t>
  </si>
  <si>
    <t xml:space="preserve">Not at all | Sometimes | Often | Very often</t>
  </si>
  <si>
    <t xml:space="preserve">DSM-5: 'does not seem to listen'</t>
  </si>
  <si>
    <t xml:space="preserve">S005</t>
  </si>
  <si>
    <t xml:space="preserve">Careless mistakes or missed details</t>
  </si>
  <si>
    <t xml:space="preserve">None | Mild | Moderate | Severe</t>
  </si>
  <si>
    <t xml:space="preserve">S006</t>
  </si>
  <si>
    <t xml:space="preserve">Trouble finishing things I started</t>
  </si>
  <si>
    <t xml:space="preserve">S007</t>
  </si>
  <si>
    <t xml:space="preserve">Avoided tasks that need sustained mental effort</t>
  </si>
  <si>
    <t xml:space="preserve">S008</t>
  </si>
  <si>
    <t xml:space="preserve">Lost or misplaced something important</t>
  </si>
  <si>
    <t xml:space="preserve">Checkbox</t>
  </si>
  <si>
    <t xml:space="preserve">Checked = happened today</t>
  </si>
  <si>
    <t xml:space="preserve">S009</t>
  </si>
  <si>
    <t xml:space="preserve">Forgot an appointment, task, or commitment</t>
  </si>
  <si>
    <t xml:space="preserve">DSM-5: forgetfulness in daily activities</t>
  </si>
  <si>
    <t xml:space="preserve">S010</t>
  </si>
  <si>
    <t xml:space="preserve">Brain fog / mentally 'cloudy'</t>
  </si>
  <si>
    <t xml:space="preserve">Commonly reported in adults</t>
  </si>
  <si>
    <t xml:space="preserve">S011</t>
  </si>
  <si>
    <t xml:space="preserve">Hyperfocus (lost track of time on one thing)</t>
  </si>
  <si>
    <t xml:space="preserve">None | Productive | Unproductive | Both</t>
  </si>
  <si>
    <t xml:space="preserve">n/a (descriptive)</t>
  </si>
  <si>
    <t xml:space="preserve">Not a DSM symptom, but common; useful for pattern spotting</t>
  </si>
  <si>
    <t xml:space="preserve">S012</t>
  </si>
  <si>
    <t xml:space="preserve">Executive Function</t>
  </si>
  <si>
    <t xml:space="preserve">Trouble getting started on tasks</t>
  </si>
  <si>
    <t xml:space="preserve">Task initiation / 'task paralysis'</t>
  </si>
  <si>
    <t xml:space="preserve">S013</t>
  </si>
  <si>
    <t xml:space="preserve">Procrastination</t>
  </si>
  <si>
    <t xml:space="preserve">S014</t>
  </si>
  <si>
    <t xml:space="preserve">Trouble prioritizing what to do first</t>
  </si>
  <si>
    <t xml:space="preserve">S015</t>
  </si>
  <si>
    <t xml:space="preserve">Difficulty planning or organizing</t>
  </si>
  <si>
    <t xml:space="preserve">DSM-5: difficulty organizing tasks</t>
  </si>
  <si>
    <t xml:space="preserve">S016</t>
  </si>
  <si>
    <t xml:space="preserve">Felt overwhelmed by the number of things to do</t>
  </si>
  <si>
    <t xml:space="preserve">S017</t>
  </si>
  <si>
    <t xml:space="preserve">Trouble switching from one task to another</t>
  </si>
  <si>
    <t xml:space="preserve">Task shifting</t>
  </si>
  <si>
    <t xml:space="preserve">S018</t>
  </si>
  <si>
    <t xml:space="preserve">Forgot what I was about to do mid-task</t>
  </si>
  <si>
    <t xml:space="preserve">0 times | 1-2 times | 3-5 times | 6+ times</t>
  </si>
  <si>
    <t xml:space="preserve">Working memory</t>
  </si>
  <si>
    <t xml:space="preserve">S019</t>
  </si>
  <si>
    <t xml:space="preserve">Trouble following multi-step instructions</t>
  </si>
  <si>
    <t xml:space="preserve">S020</t>
  </si>
  <si>
    <t xml:space="preserve">Lost track of time / ran late</t>
  </si>
  <si>
    <t xml:space="preserve">On time | A little late | Very late | Missed it</t>
  </si>
  <si>
    <t xml:space="preserve">Time awareness</t>
  </si>
  <si>
    <t xml:space="preserve">S021</t>
  </si>
  <si>
    <t xml:space="preserve">Got through my must-do list today</t>
  </si>
  <si>
    <t xml:space="preserve">None | Some | Most | All</t>
  </si>
  <si>
    <t xml:space="preserve">Higher = better</t>
  </si>
  <si>
    <t xml:space="preserve">Reverse-scored; gives a positive anchor</t>
  </si>
  <si>
    <t xml:space="preserve">S022</t>
  </si>
  <si>
    <t xml:space="preserve">Hyperactivity / Restlessness</t>
  </si>
  <si>
    <t xml:space="preserve">Inner restlessness</t>
  </si>
  <si>
    <t xml:space="preserve">In adults, hyperactivity often shows up as inner restlessness</t>
  </si>
  <si>
    <t xml:space="preserve">S023</t>
  </si>
  <si>
    <t xml:space="preserve">Racing or jumping thoughts</t>
  </si>
  <si>
    <t xml:space="preserve">S024</t>
  </si>
  <si>
    <t xml:space="preserve">Fidgeting or tapping</t>
  </si>
  <si>
    <t xml:space="preserve">DSM-5 hyperactivity domain</t>
  </si>
  <si>
    <t xml:space="preserve">S025</t>
  </si>
  <si>
    <t xml:space="preserve">Hard to sit still when I needed to</t>
  </si>
  <si>
    <t xml:space="preserve">S026</t>
  </si>
  <si>
    <t xml:space="preserve">Difficulty relaxing or winding down</t>
  </si>
  <si>
    <t xml:space="preserve">S027</t>
  </si>
  <si>
    <t xml:space="preserve">Felt 'driven by a motor'</t>
  </si>
  <si>
    <t xml:space="preserve">S028</t>
  </si>
  <si>
    <t xml:space="preserve">Talked more than I intended</t>
  </si>
  <si>
    <t xml:space="preserve">S029</t>
  </si>
  <si>
    <t xml:space="preserve">Impulsivity</t>
  </si>
  <si>
    <t xml:space="preserve">Acted without thinking it through</t>
  </si>
  <si>
    <t xml:space="preserve">DSM-5 impulsivity domain</t>
  </si>
  <si>
    <t xml:space="preserve">S030</t>
  </si>
  <si>
    <t xml:space="preserve">Interrupted or blurted something out</t>
  </si>
  <si>
    <t xml:space="preserve">S031</t>
  </si>
  <si>
    <t xml:space="preserve">Trouble waiting my turn / waiting in line</t>
  </si>
  <si>
    <t xml:space="preserve">S032</t>
  </si>
  <si>
    <t xml:space="preserve">Impulse purchase</t>
  </si>
  <si>
    <t xml:space="preserve">Common adult manifestation</t>
  </si>
  <si>
    <t xml:space="preserve">S033</t>
  </si>
  <si>
    <t xml:space="preserve">Impulsive eating or snacking</t>
  </si>
  <si>
    <t xml:space="preserve">S034</t>
  </si>
  <si>
    <t xml:space="preserve">Urge to drop what I was doing for something new</t>
  </si>
  <si>
    <t xml:space="preserve">Seeking stimulation / novelty</t>
  </si>
  <si>
    <t xml:space="preserve">S035</t>
  </si>
  <si>
    <t xml:space="preserve">Lost time to scrolling or screens</t>
  </si>
  <si>
    <t xml:space="preserve">None | Under 1 hr | 1-3 hrs | 3+ hrs</t>
  </si>
  <si>
    <t xml:space="preserve">S036</t>
  </si>
  <si>
    <t xml:space="preserve">Emotional Regulation</t>
  </si>
  <si>
    <t xml:space="preserve">Irritability</t>
  </si>
  <si>
    <t xml:space="preserve">Emotional dyscontrol factor in adult ADHD research</t>
  </si>
  <si>
    <t xml:space="preserve">S037</t>
  </si>
  <si>
    <t xml:space="preserve">Quick to feel frustrated</t>
  </si>
  <si>
    <t xml:space="preserve">S038</t>
  </si>
  <si>
    <t xml:space="preserve">Mood swings</t>
  </si>
  <si>
    <t xml:space="preserve">S039</t>
  </si>
  <si>
    <t xml:space="preserve">Emotionally overwhelmed</t>
  </si>
  <si>
    <t xml:space="preserve">S040</t>
  </si>
  <si>
    <t xml:space="preserve">Sensitive to criticism or feeling rejected</t>
  </si>
  <si>
    <t xml:space="preserve">Rejection sensitivity</t>
  </si>
  <si>
    <t xml:space="preserve">S041</t>
  </si>
  <si>
    <t xml:space="preserve">Anger outburst or lost my temper</t>
  </si>
  <si>
    <t xml:space="preserve">S042</t>
  </si>
  <si>
    <t xml:space="preserve">Anxiety or worry</t>
  </si>
  <si>
    <t xml:space="preserve">Common co-occurring symptom</t>
  </si>
  <si>
    <t xml:space="preserve">S043</t>
  </si>
  <si>
    <t xml:space="preserve">Low or sad mood</t>
  </si>
  <si>
    <t xml:space="preserve">S044</t>
  </si>
  <si>
    <t xml:space="preserve">Boredom</t>
  </si>
  <si>
    <t xml:space="preserve">S045</t>
  </si>
  <si>
    <t xml:space="preserve">Self-critical or guilty about unfinished tasks</t>
  </si>
  <si>
    <t xml:space="preserve">S046</t>
  </si>
  <si>
    <t xml:space="preserve">Energy, Sleep &amp; Body</t>
  </si>
  <si>
    <t xml:space="preserve">Motivation level</t>
  </si>
  <si>
    <t xml:space="preserve">0 = Very low, 10 = Very high</t>
  </si>
  <si>
    <t xml:space="preserve">Reverse-scored</t>
  </si>
  <si>
    <t xml:space="preserve">S047</t>
  </si>
  <si>
    <t xml:space="preserve">Energy level</t>
  </si>
  <si>
    <t xml:space="preserve">S048</t>
  </si>
  <si>
    <t xml:space="preserve">Sleep quality last night</t>
  </si>
  <si>
    <t xml:space="preserve">0 = Very poor, 10 = Excellent</t>
  </si>
  <si>
    <t xml:space="preserve">S049</t>
  </si>
  <si>
    <t xml:space="preserve">Trouble falling asleep (mind wouldn't switch off)</t>
  </si>
  <si>
    <t xml:space="preserve">S050</t>
  </si>
  <si>
    <t xml:space="preserve">Daytime fatigue or sleepiness</t>
  </si>
  <si>
    <t xml:space="preserve">S051</t>
  </si>
  <si>
    <t xml:space="preserve">Appetite</t>
  </si>
  <si>
    <t xml:space="preserve">Low | Normal | High | Forgot to eat</t>
  </si>
  <si>
    <t xml:space="preserve">S052</t>
  </si>
  <si>
    <t xml:space="preserve">Forgot to eat or drink water</t>
  </si>
  <si>
    <t xml:space="preserve">S053</t>
  </si>
  <si>
    <t xml:space="preserve">Physical tension or stress in my body</t>
  </si>
  <si>
    <t xml:space="preserve">S054</t>
  </si>
  <si>
    <t xml:space="preserve">Context &amp; Triggers</t>
  </si>
  <si>
    <t xml:space="preserve">Took medication as planned</t>
  </si>
  <si>
    <t xml:space="preserve">Yes | Partly | No | Not applicable</t>
  </si>
  <si>
    <t xml:space="preserve">n/a (context)</t>
  </si>
  <si>
    <t xml:space="preserve">Only relevant if the user has a medication plan</t>
  </si>
  <si>
    <t xml:space="preserve">S055</t>
  </si>
  <si>
    <t xml:space="preserve">Exercise or movement</t>
  </si>
  <si>
    <t xml:space="preserve">S056</t>
  </si>
  <si>
    <t xml:space="preserve">Time outdoors</t>
  </si>
  <si>
    <t xml:space="preserve">S057</t>
  </si>
  <si>
    <t xml:space="preserve">Caffeine today</t>
  </si>
  <si>
    <t xml:space="preserve">None | 1 serving | 2-3 servings | 4+ servings</t>
  </si>
  <si>
    <t xml:space="preserve">S058</t>
  </si>
  <si>
    <t xml:space="preserve">Stressful event today</t>
  </si>
  <si>
    <t xml:space="preserve">S059</t>
  </si>
  <si>
    <t xml:space="preserve">Got less than 6 hours of sleep</t>
  </si>
  <si>
    <t xml:space="preserve">S060</t>
  </si>
  <si>
    <t xml:space="preserve">Social interaction</t>
  </si>
  <si>
    <t xml:space="preserve">None | Brief | Moderate | A lot</t>
  </si>
  <si>
    <t xml:space="preserve">S061</t>
  </si>
  <si>
    <t xml:space="preserve">Used a coping tool (timer, body doubling, list, etc.)</t>
  </si>
  <si>
    <t xml:space="preserve">Lets the app show what helps</t>
  </si>
  <si>
    <t xml:space="preserve">S062</t>
  </si>
  <si>
    <t xml:space="preserve">Overall Check-in</t>
  </si>
  <si>
    <t xml:space="preserve">Overall mood</t>
  </si>
  <si>
    <t xml:space="preserve">1 Very low | 2 Low | 3 Okay | 4 Good | 5 Great</t>
  </si>
  <si>
    <t xml:space="preserve">Single-tap daily rating</t>
  </si>
  <si>
    <t xml:space="preserve">S063</t>
  </si>
  <si>
    <t xml:space="preserve">Overall focus</t>
  </si>
  <si>
    <t xml:space="preserve">S064</t>
  </si>
  <si>
    <t xml:space="preserve">Overall symptom burden today</t>
  </si>
  <si>
    <t xml:space="preserve">Quick summary rating</t>
  </si>
  <si>
    <t xml:space="preserve">Symptom counts</t>
  </si>
  <si>
    <t xml:space="preserve">By input type</t>
  </si>
  <si>
    <t xml:space="preserve">Count</t>
  </si>
  <si>
    <t xml:space="preserve">Total</t>
  </si>
  <si>
    <t xml:space="preserve">By category</t>
  </si>
  <si>
    <t xml:space="preserve">B001</t>
  </si>
  <si>
    <t xml:space="preserve">Elevated Mood &amp; Energy (Mania/Hypomania)</t>
  </si>
  <si>
    <t xml:space="preserve">Unusually happy, 'high,' or euphoric</t>
  </si>
  <si>
    <t xml:space="preserve">Higher = more elevated (manic-pole) symptom</t>
  </si>
  <si>
    <t xml:space="preserve">DSM-5 manic/hypomanic episode: elevated or expansive mood</t>
  </si>
  <si>
    <t xml:space="preserve">B002</t>
  </si>
  <si>
    <t xml:space="preserve">Felt unusually confident, powerful, or 'special'</t>
  </si>
  <si>
    <t xml:space="preserve">DSM-5: inflated self-esteem or grandiosity</t>
  </si>
  <si>
    <t xml:space="preserve">B003</t>
  </si>
  <si>
    <t xml:space="preserve">Much more energy than usual</t>
  </si>
  <si>
    <t xml:space="preserve">DSM-5: increased energy or activity</t>
  </si>
  <si>
    <t xml:space="preserve">B004</t>
  </si>
  <si>
    <t xml:space="preserve">Pushed hard on goals or projects (far more than usual)</t>
  </si>
  <si>
    <t xml:space="preserve">DSM-5: increased goal-directed activity</t>
  </si>
  <si>
    <t xml:space="preserve">B005</t>
  </si>
  <si>
    <t xml:space="preserve">Started several new projects or plans today</t>
  </si>
  <si>
    <t xml:space="preserve">Easy to spot in hindsight; useful for pattern spotting</t>
  </si>
  <si>
    <t xml:space="preserve">B006</t>
  </si>
  <si>
    <t xml:space="preserve">Unusually creative or inspired</t>
  </si>
  <si>
    <t xml:space="preserve">Commonly reported in hypomania; not a diagnostic criterion</t>
  </si>
  <si>
    <t xml:space="preserve">B007</t>
  </si>
  <si>
    <t xml:space="preserve">Felt driven; couldn't slow down</t>
  </si>
  <si>
    <t xml:space="preserve">Often described as feeling 'on' or 'revved up'</t>
  </si>
  <si>
    <t xml:space="preserve">B008</t>
  </si>
  <si>
    <t xml:space="preserve">Thoughts &amp; Speech</t>
  </si>
  <si>
    <t xml:space="preserve">Racing thoughts</t>
  </si>
  <si>
    <t xml:space="preserve">DSM-5: racing thoughts / flight of ideas</t>
  </si>
  <si>
    <t xml:space="preserve">B009</t>
  </si>
  <si>
    <t xml:space="preserve">Jumped quickly from idea to idea</t>
  </si>
  <si>
    <t xml:space="preserve">DSM-5: flight of ideas</t>
  </si>
  <si>
    <t xml:space="preserve">B010</t>
  </si>
  <si>
    <t xml:space="preserve">Talked faster or more than usual</t>
  </si>
  <si>
    <t xml:space="preserve">DSM-5: pressured speech</t>
  </si>
  <si>
    <t xml:space="preserve">B011</t>
  </si>
  <si>
    <t xml:space="preserve">Easily pulled off track by unimportant things</t>
  </si>
  <si>
    <t xml:space="preserve">DSM-5 manic episode: distractibility</t>
  </si>
  <si>
    <t xml:space="preserve">B012</t>
  </si>
  <si>
    <t xml:space="preserve">Trouble concentrating</t>
  </si>
  <si>
    <t xml:space="preserve">Occurs in both manic and depressive episodes</t>
  </si>
  <si>
    <t xml:space="preserve">B013</t>
  </si>
  <si>
    <t xml:space="preserve">Brain fog or slowed thinking</t>
  </si>
  <si>
    <t xml:space="preserve">Higher = more depressive-pole symptom</t>
  </si>
  <si>
    <t xml:space="preserve">Common in depressive episodes</t>
  </si>
  <si>
    <t xml:space="preserve">B014</t>
  </si>
  <si>
    <t xml:space="preserve">Trouble making decisions</t>
  </si>
  <si>
    <t xml:space="preserve">DSM-5 depressive episode: indecisiveness</t>
  </si>
  <si>
    <t xml:space="preserve">B015</t>
  </si>
  <si>
    <t xml:space="preserve">Others had trouble following what I was saying</t>
  </si>
  <si>
    <t xml:space="preserve">Can reflect very fast or scattered speech</t>
  </si>
  <si>
    <t xml:space="preserve">B016</t>
  </si>
  <si>
    <t xml:space="preserve">Sleep</t>
  </si>
  <si>
    <t xml:space="preserve">Hours of sleep last night</t>
  </si>
  <si>
    <t xml:space="preserve">Under 4 | 4-6 | 6-8 | 8-10 | Over 10</t>
  </si>
  <si>
    <t xml:space="preserve">Sleep hours are one of the most useful early-warning signals for mood episodes</t>
  </si>
  <si>
    <t xml:space="preserve">B017</t>
  </si>
  <si>
    <t xml:space="preserve">Needed much less sleep than usual but still felt energized</t>
  </si>
  <si>
    <t xml:space="preserve">DSM-5: decreased need for sleep. Different from insomnia, where you want to sleep but can't</t>
  </si>
  <si>
    <t xml:space="preserve">B018</t>
  </si>
  <si>
    <t xml:space="preserve">Trouble falling or staying asleep</t>
  </si>
  <si>
    <t xml:space="preserve">Can occur in either pole</t>
  </si>
  <si>
    <t xml:space="preserve">B019</t>
  </si>
  <si>
    <t xml:space="preserve">Slept much more than usual, or hard to get out of bed</t>
  </si>
  <si>
    <t xml:space="preserve">DSM-5 depressive episode: hypersomnia</t>
  </si>
  <si>
    <t xml:space="preserve">B020</t>
  </si>
  <si>
    <t xml:space="preserve">B021</t>
  </si>
  <si>
    <t xml:space="preserve">Risk-taking &amp; Impulsivity</t>
  </si>
  <si>
    <t xml:space="preserve">Acted without thinking about consequences</t>
  </si>
  <si>
    <t xml:space="preserve">B022</t>
  </si>
  <si>
    <t xml:space="preserve">Impulsive or excessive spending</t>
  </si>
  <si>
    <t xml:space="preserve">DSM-5: buying sprees as a risky activity</t>
  </si>
  <si>
    <t xml:space="preserve">B023</t>
  </si>
  <si>
    <t xml:space="preserve">Risky or reckless behavior (e.g., reckless driving, risky decisions)</t>
  </si>
  <si>
    <t xml:space="preserve">DSM-5: excessive involvement in risky activities. ADHD impulsivity can look similar, but is typically ongoing rather than in episodes</t>
  </si>
  <si>
    <t xml:space="preserve">B024</t>
  </si>
  <si>
    <t xml:space="preserve">Increased sexual interest or activity</t>
  </si>
  <si>
    <t xml:space="preserve">Listed in DSM-5 under risky activities (sexual indiscretions)</t>
  </si>
  <si>
    <t xml:space="preserve">B025</t>
  </si>
  <si>
    <t xml:space="preserve">Depressed Mood</t>
  </si>
  <si>
    <t xml:space="preserve">Low, sad, or empty mood</t>
  </si>
  <si>
    <t xml:space="preserve">DSM-5 depressive episode</t>
  </si>
  <si>
    <t xml:space="preserve">B026</t>
  </si>
  <si>
    <t xml:space="preserve">Lost interest or pleasure in things I usually enjoy</t>
  </si>
  <si>
    <t xml:space="preserve">DSM-5 depressive episode: anhedonia</t>
  </si>
  <si>
    <t xml:space="preserve">B027</t>
  </si>
  <si>
    <t xml:space="preserve">Felt hopeless about the future</t>
  </si>
  <si>
    <t xml:space="preserve">B028</t>
  </si>
  <si>
    <t xml:space="preserve">Felt worthless or excessively guilty</t>
  </si>
  <si>
    <t xml:space="preserve">B029</t>
  </si>
  <si>
    <t xml:space="preserve">Crying spells or tearfulness</t>
  </si>
  <si>
    <t xml:space="preserve">B030</t>
  </si>
  <si>
    <t xml:space="preserve">Moved or spoke more slowly than usual</t>
  </si>
  <si>
    <t xml:space="preserve">DSM-5: psychomotor retardation</t>
  </si>
  <si>
    <t xml:space="preserve">B031</t>
  </si>
  <si>
    <t xml:space="preserve">Withdrew from people or activities</t>
  </si>
  <si>
    <t xml:space="preserve">B032</t>
  </si>
  <si>
    <t xml:space="preserve">Low motivation; hard to get started</t>
  </si>
  <si>
    <t xml:space="preserve">B033</t>
  </si>
  <si>
    <t xml:space="preserve">Anxiety, Agitation &amp; Mixed Features</t>
  </si>
  <si>
    <t xml:space="preserve">Common alongside both poles</t>
  </si>
  <si>
    <t xml:space="preserve">B034</t>
  </si>
  <si>
    <t xml:space="preserve">Irritable or short-tempered</t>
  </si>
  <si>
    <t xml:space="preserve">Can occur in mania, depression, or mixed states</t>
  </si>
  <si>
    <t xml:space="preserve">B035</t>
  </si>
  <si>
    <t xml:space="preserve">Physically agitated or unable to sit still</t>
  </si>
  <si>
    <t xml:space="preserve">DSM-5: psychomotor agitation</t>
  </si>
  <si>
    <t xml:space="preserve">B036</t>
  </si>
  <si>
    <t xml:space="preserve">Mood swings during the day</t>
  </si>
  <si>
    <t xml:space="preserve">Classic bipolar episodes last days or longer, but quick shifts can occur with mixed features or rapid cycling; useful to log either way</t>
  </si>
  <si>
    <t xml:space="preserve">B037</t>
  </si>
  <si>
    <t xml:space="preserve">'Wired but tired': high energy and low mood at the same time</t>
  </si>
  <si>
    <t xml:space="preserve">Mixed features (manic and depressive symptoms together)</t>
  </si>
  <si>
    <t xml:space="preserve">B038</t>
  </si>
  <si>
    <t xml:space="preserve">B039</t>
  </si>
  <si>
    <t xml:space="preserve">Perception &amp; Insight</t>
  </si>
  <si>
    <t xml:space="preserve">Unusual beliefs or experiences (e.g., hearing or seeing things others didn't, strongly held unusual ideas)</t>
  </si>
  <si>
    <t xml:space="preserve">Psychotic features can occur in severe episodes. If checked, the app could suggest contacting the care team</t>
  </si>
  <si>
    <t xml:space="preserve">B040</t>
  </si>
  <si>
    <t xml:space="preserve">Others said I seemed 'off' or unlike myself</t>
  </si>
  <si>
    <t xml:space="preserve">Often an early-warning sign; others may notice changes before the person does</t>
  </si>
  <si>
    <t xml:space="preserve">B041</t>
  </si>
  <si>
    <t xml:space="preserve">Safety Check-in</t>
  </si>
  <si>
    <t xml:space="preserve">Thoughts of death, or of harming myself</t>
  </si>
  <si>
    <t xml:space="preserve">None | Passing | Frequent | Strong, or with a plan</t>
  </si>
  <si>
    <t xml:space="preserve">Higher = more concerning</t>
  </si>
  <si>
    <t xml:space="preserve">Standard item in mood tracking. If anything other than 'None' is chosen, the app should show crisis resources (US: call or text 988) rather than only logging it. Not a substitute for care</t>
  </si>
  <si>
    <t xml:space="preserve">B042</t>
  </si>
  <si>
    <t xml:space="preserve">Energy, Body &amp; Context</t>
  </si>
  <si>
    <t xml:space="preserve">B043</t>
  </si>
  <si>
    <t xml:space="preserve">Fatigue or loss of energy</t>
  </si>
  <si>
    <t xml:space="preserve">B044</t>
  </si>
  <si>
    <t xml:space="preserve">Appetite change can go either direction</t>
  </si>
  <si>
    <t xml:space="preserve">B045</t>
  </si>
  <si>
    <t xml:space="preserve">B046</t>
  </si>
  <si>
    <t xml:space="preserve">Alcohol or other substances today</t>
  </si>
  <si>
    <t xml:space="preserve">None | Some | A lot</t>
  </si>
  <si>
    <t xml:space="preserve">Substance use can affect mood stability</t>
  </si>
  <si>
    <t xml:space="preserve">B047</t>
  </si>
  <si>
    <t xml:space="preserve">B048</t>
  </si>
  <si>
    <t xml:space="preserve">B049</t>
  </si>
  <si>
    <t xml:space="preserve">Daylight exposure helps regulate sleep/wake rhythm</t>
  </si>
  <si>
    <t xml:space="preserve">B050</t>
  </si>
  <si>
    <t xml:space="preserve">Common trigger</t>
  </si>
  <si>
    <t xml:space="preserve">B051</t>
  </si>
  <si>
    <t xml:space="preserve">Kept a regular routine (meals, wake and sleep times)</t>
  </si>
  <si>
    <t xml:space="preserve">Yes | Mostly | Barely | Not at all</t>
  </si>
  <si>
    <t xml:space="preserve">Regular daily rhythm is considered important for mood stability</t>
  </si>
  <si>
    <t xml:space="preserve">B052</t>
  </si>
  <si>
    <t xml:space="preserve">B053</t>
  </si>
  <si>
    <t xml:space="preserve">Used a coping tool (breathing, walk, call a friend, etc.)</t>
  </si>
  <si>
    <t xml:space="preserve">B054</t>
  </si>
  <si>
    <t xml:space="preserve">-3 Severely depressed | -2 Moderately depressed | -1 Mildly low | 0 Stable | +1 Mildly elevated | +2 Moderately elevated | +3 Severely elevated</t>
  </si>
  <si>
    <t xml:space="preserve">Bidirectional: 0 = stable, negative = depressive, positive = elevated</t>
  </si>
  <si>
    <t xml:space="preserve">Life-chart style rating; a single two-way daily rating is the core of most bipolar trackers</t>
  </si>
  <si>
    <t xml:space="preserve">B055</t>
  </si>
  <si>
    <t xml:space="preserve">B056</t>
  </si>
  <si>
    <t xml:space="preserve">Overall functioning today (work, home, relationships)</t>
  </si>
  <si>
    <t xml:space="preserve">Cross-reference: ADHD list vs Bipolar list</t>
  </si>
  <si>
    <t xml:space="preserve">'Only' means no matching item exists in the other list in this workbook. It does not mean the symptom can never occur in the other condition. ADHD and bipolar disorder can also co-occur, and many symptoms overlap, so patterns over time matter more than any single item.</t>
  </si>
  <si>
    <t xml:space="preserve">At a glance</t>
  </si>
  <si>
    <t xml:space="preserve">Section</t>
  </si>
  <si>
    <t xml:space="preserve">Items</t>
  </si>
  <si>
    <t xml:space="preserve">Note</t>
  </si>
  <si>
    <t xml:space="preserve">ADHD only</t>
  </si>
  <si>
    <t xml:space="preserve">In Section 3, one row can combine several items (for example, three ADHD restlessness items matching one bipolar agitation item), so row counts are lower than item counts.</t>
  </si>
  <si>
    <t xml:space="preserve">Bipolar only</t>
  </si>
  <si>
    <t xml:space="preserve">Either (overlapping symptom)</t>
  </si>
  <si>
    <t xml:space="preserve">General health / context</t>
  </si>
  <si>
    <t xml:space="preserve">Total rows</t>
  </si>
  <si>
    <t xml:space="preserve">SECTION 1: Symptoms found only in the ADHD list</t>
  </si>
  <si>
    <t xml:space="preserve">ADHD ID(s)</t>
  </si>
  <si>
    <t xml:space="preserve">Bipolar ID(s)</t>
  </si>
  <si>
    <t xml:space="preserve">Symptom / Concept</t>
  </si>
  <si>
    <t xml:space="preserve">Input Type(s)</t>
  </si>
  <si>
    <t xml:space="preserve">How they differ / Notes</t>
  </si>
  <si>
    <t xml:space="preserve">ADHD: Slider</t>
  </si>
  <si>
    <t xml:space="preserve">DSM-5 inattention domain; No matching item in the bipolar list</t>
  </si>
  <si>
    <t xml:space="preserve">ADHD: Radio</t>
  </si>
  <si>
    <t xml:space="preserve">DSM-5: 'does not seem to listen'; No matching item in the bipolar list</t>
  </si>
  <si>
    <t xml:space="preserve">ADHD: Checkbox</t>
  </si>
  <si>
    <t xml:space="preserve">DSM-5: forgetfulness in daily activities; No matching item in the bipolar list</t>
  </si>
  <si>
    <t xml:space="preserve">Not a DSM symptom, but common; useful for pattern spotting; No matching item in the bipolar list</t>
  </si>
  <si>
    <t xml:space="preserve">No matching item in the bipolar list</t>
  </si>
  <si>
    <t xml:space="preserve">DSM-5: difficulty organizing tasks; No matching item in the bipolar list</t>
  </si>
  <si>
    <t xml:space="preserve">Task shifting; No matching item in the bipolar list</t>
  </si>
  <si>
    <t xml:space="preserve">Working memory; No matching item in the bipolar list</t>
  </si>
  <si>
    <t xml:space="preserve">Time awareness; No matching item in the bipolar list</t>
  </si>
  <si>
    <t xml:space="preserve">DSM-5 hyperactivity domain; No matching item in the bipolar list</t>
  </si>
  <si>
    <t xml:space="preserve">DSM-5 impulsivity domain; No matching item in the bipolar list</t>
  </si>
  <si>
    <t xml:space="preserve">Seeking stimulation / novelty; No matching item in the bipolar list</t>
  </si>
  <si>
    <t xml:space="preserve">Rejection sensitivity; No matching item in the bipolar list</t>
  </si>
  <si>
    <t xml:space="preserve">Reverse-scored; No matching item in the bipolar list</t>
  </si>
  <si>
    <t xml:space="preserve">SECTION 2: Symptoms found only in the Bipolar list</t>
  </si>
  <si>
    <t xml:space="preserve">Bipolar: Slider</t>
  </si>
  <si>
    <t xml:space="preserve">Bipolar: Checkbox</t>
  </si>
  <si>
    <t xml:space="preserve">Bipolar: Radio</t>
  </si>
  <si>
    <t xml:space="preserve">SECTION 3: Either condition, or general health / context</t>
  </si>
  <si>
    <t xml:space="preserve">Attention</t>
  </si>
  <si>
    <t xml:space="preserve">Difficulty concentrating or sustaining focus</t>
  </si>
  <si>
    <t xml:space="preserve">ADHD: Slider; Bipolar: Slider</t>
  </si>
  <si>
    <t xml:space="preserve">ADHD: persistent, present between mood episodes. Bipolar: tracks with episodes (both manic and depressive).</t>
  </si>
  <si>
    <t xml:space="preserve">Easily distracted</t>
  </si>
  <si>
    <t xml:space="preserve">ADHD: a constant trait. Bipolar: distractibility appears during manic/hypomanic stretches.</t>
  </si>
  <si>
    <t xml:space="preserve">Bipolar: most often during depressive episodes. ADHD: can fluctuate with fatigue and stress.</t>
  </si>
  <si>
    <t xml:space="preserve">Motivation</t>
  </si>
  <si>
    <t xml:space="preserve">Low motivation / hard to get started</t>
  </si>
  <si>
    <t xml:space="preserve">ADHD: starting trouble even when mood is fine (often interest-dependent). Bipolar: linked to a depressive phase.</t>
  </si>
  <si>
    <t xml:space="preserve">S022, S025, S026</t>
  </si>
  <si>
    <t xml:space="preserve">Restlessness</t>
  </si>
  <si>
    <t xml:space="preserve">Inner restlessness, agitation, trouble relaxing</t>
  </si>
  <si>
    <t xml:space="preserve">ADHD: Checkbox / Slider; Bipolar: Slider</t>
  </si>
  <si>
    <t xml:space="preserve">ADHD: ongoing, often inner restlessness. Bipolar: tied to manic, mixed, or agitated depressive states.</t>
  </si>
  <si>
    <t xml:space="preserve">B008, B009</t>
  </si>
  <si>
    <t xml:space="preserve">Thoughts</t>
  </si>
  <si>
    <t xml:space="preserve">ADHD: ongoing mental 'noise'. Bipolar: speeds up in manic/hypomanic episodes and usually comes with other elevated symptoms.</t>
  </si>
  <si>
    <t xml:space="preserve">Energy &amp; Drive</t>
  </si>
  <si>
    <t xml:space="preserve">Feeling driven / can't slow down</t>
  </si>
  <si>
    <t xml:space="preserve">ADHD: 'driven by a motor'. Bipolar: increased drive alongside reduced need for sleep and elevated mood.</t>
  </si>
  <si>
    <t xml:space="preserve">Speech</t>
  </si>
  <si>
    <t xml:space="preserve">Talking more or faster than intended</t>
  </si>
  <si>
    <t xml:space="preserve">ADHD: Radio; Bipolar: Radio</t>
  </si>
  <si>
    <t xml:space="preserve">ADHD: talkativeness. Bipolar: pressured speech that is hard to interrupt, usually during elevated episodes.</t>
  </si>
  <si>
    <t xml:space="preserve">Acting without thinking</t>
  </si>
  <si>
    <t xml:space="preserve">ADHD: persistent. Bipolar: tends to rise during elevated periods.</t>
  </si>
  <si>
    <t xml:space="preserve">Impulsive spending</t>
  </si>
  <si>
    <t xml:space="preserve">ADHD: Checkbox; Bipolar: Checkbox</t>
  </si>
  <si>
    <t xml:space="preserve">ADHD: impulse buys across time. Bipolar: spending sprees during elevated episodes, often large.</t>
  </si>
  <si>
    <t xml:space="preserve">S036, S037</t>
  </si>
  <si>
    <t xml:space="preserve">Emotion</t>
  </si>
  <si>
    <t xml:space="preserve">Irritability / quick frustration</t>
  </si>
  <si>
    <t xml:space="preserve">ADHD: reactive, short-lived. Bipolar: sustained for days in an episode (manic, depressive, or mixed).</t>
  </si>
  <si>
    <t xml:space="preserve">ADHD: quick, reactive shifts in response to events. Bipolar: shifts that last days or longer, often without a clear trigger.</t>
  </si>
  <si>
    <t xml:space="preserve">Anger outbursts</t>
  </si>
  <si>
    <t xml:space="preserve">Both: can happen. Pattern and duration help tell them apart.</t>
  </si>
  <si>
    <t xml:space="preserve">Common co-occurring symptom in both conditions.</t>
  </si>
  <si>
    <t xml:space="preserve">Bipolar: depressive episodes last weeks. ADHD: often shorter dips tied to frustration or overwhelm; depression can also co-occur.</t>
  </si>
  <si>
    <t xml:space="preserve">Guilt / self-criticism</t>
  </si>
  <si>
    <t xml:space="preserve">ADHD: usually about unfinished tasks. Bipolar: broader worthlessness or guilt in depressive episodes.</t>
  </si>
  <si>
    <t xml:space="preserve">Trouble falling asleep / mind won't switch off</t>
  </si>
  <si>
    <t xml:space="preserve">ADHD: delayed sleep or busy mind. Bipolar: insomnia in either pole; separate from 'needing less sleep'.</t>
  </si>
  <si>
    <t xml:space="preserve">Sleep quality</t>
  </si>
  <si>
    <t xml:space="preserve">Shared tracker item.</t>
  </si>
  <si>
    <t xml:space="preserve">Hours of sleep / short sleep</t>
  </si>
  <si>
    <t xml:space="preserve">ADHD: Checkbox; Bipolar: Radio</t>
  </si>
  <si>
    <t xml:space="preserve">Short sleep is an important early-warning sign in bipolar; in ADHD it mainly worsens focus and mood.</t>
  </si>
  <si>
    <t xml:space="preserve">Energy</t>
  </si>
  <si>
    <t xml:space="preserve">Fatigue / daytime sleepiness</t>
  </si>
  <si>
    <t xml:space="preserve">Body</t>
  </si>
  <si>
    <t xml:space="preserve">Only in ADHD list; general health item.</t>
  </si>
  <si>
    <t xml:space="preserve">Overall</t>
  </si>
  <si>
    <t xml:space="preserve">ADHD list uses a 1-5 scale. The bipolar list uses a -3 to +3 scale so both highs and lows can be recorded.</t>
  </si>
  <si>
    <t xml:space="preserve">Overall symptom burden</t>
  </si>
  <si>
    <t xml:space="preserve">Overall functioning / getting things done</t>
  </si>
  <si>
    <t xml:space="preserve">ADHD: Radio; Bipolar: Slider</t>
  </si>
  <si>
    <t xml:space="preserve">Context</t>
  </si>
  <si>
    <t xml:space="preserve">Medication taken as planned</t>
  </si>
  <si>
    <t xml:space="preserve">Caffeine</t>
  </si>
  <si>
    <t xml:space="preserve">Stressful event</t>
  </si>
  <si>
    <t xml:space="preserve">Used a coping tool</t>
  </si>
  <si>
    <t xml:space="preserve">Alcohol or other substances</t>
  </si>
  <si>
    <t xml:space="preserve">Only in bipolar list; general health item.</t>
  </si>
  <si>
    <t xml:space="preserve">Regular daily routine kept</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</si>
</sst>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name val="Arial"/>
      <family val="0"/>
      <charset val="1"/>
    </font>
    <font>
      <b val="true"/>
      <sz val="11"/>
      <color rgb="FF1F3864"/>
      <name val="Arial"/>
      <family val="0"/>
      <charset val="1"/>
    </font>
    <font>
      <b val="true"/>
      <sz val="11"/>
      <color rgb="FFFFFFFF"/>
      <name val="Arial"/>
      <family val="0"/>
      <charset val="1"/>
    </font>
    <font>
      <b val="true"/>
      <sz val="14"/>
      <name val="Arial"/>
      <family val="0"/>
      <charset val="1"/>
    </font>
    <font>
      <b val="true"/>
      <sz val="11"/>
      <name val="Arial"/>
      <family val="0"/>
      <charset val="1"/>
    </font>
    <font>
      <b val="true"/>
      <sz val="10"/>
      <name val="Arial"/>
      <family val="0"/>
      <charset val="1"/>
    </font>
    <font>
      <b val="true"/>
      <sz val="12"/>
      <color rgb="FFFFFFFF"/>
      <name val="Arial"/>
      <family val="0"/>
      <charset val="1"/>
    </font>
  </fonts>
  <fills count="15">
    <fill>
      <patternFill patternType="none"/>
    </fill>
    <fill>
      <patternFill patternType="gray125"/>
    </fill>
    <fill>
      <patternFill patternType="solid">
        <fgColor rgb="FF1F3864"/>
        <bgColor rgb="FF333399"/>
      </patternFill>
    </fill>
    <fill>
      <patternFill patternType="solid">
        <fgColor rgb="FFDDEBF7"/>
        <bgColor rgb="FFDAEEF3"/>
      </patternFill>
    </fill>
    <fill>
      <patternFill patternType="solid">
        <fgColor rgb="FFE2EFDA"/>
        <bgColor rgb="FFEDEDED"/>
      </patternFill>
    </fill>
    <fill>
      <patternFill patternType="solid">
        <fgColor rgb="FFFFF2CC"/>
        <bgColor rgb="FFFCE4D6"/>
      </patternFill>
    </fill>
    <fill>
      <patternFill patternType="solid">
        <fgColor rgb="FFFCE4D6"/>
        <bgColor rgb="FFF2DCDB"/>
      </patternFill>
    </fill>
    <fill>
      <patternFill patternType="solid">
        <fgColor rgb="FFEADCF4"/>
        <bgColor rgb="FFE4DFEC"/>
      </patternFill>
    </fill>
    <fill>
      <patternFill patternType="solid">
        <fgColor rgb="FFDAEEF3"/>
        <bgColor rgb="FFDDEBF7"/>
      </patternFill>
    </fill>
    <fill>
      <patternFill patternType="solid">
        <fgColor rgb="FFEDEDED"/>
        <bgColor rgb="FFE2EFDA"/>
      </patternFill>
    </fill>
    <fill>
      <patternFill patternType="solid">
        <fgColor rgb="FFF8CBAD"/>
        <bgColor rgb="FFF2DCDB"/>
      </patternFill>
    </fill>
    <fill>
      <patternFill patternType="solid">
        <fgColor rgb="FFE4DFEC"/>
        <bgColor rgb="FFEADCF4"/>
      </patternFill>
    </fill>
    <fill>
      <patternFill patternType="solid">
        <fgColor rgb="FFF2DCDB"/>
        <bgColor rgb="FFFCE4D6"/>
      </patternFill>
    </fill>
    <fill>
      <patternFill patternType="solid">
        <fgColor rgb="FF833C0B"/>
        <bgColor rgb="FF993366"/>
      </patternFill>
    </fill>
    <fill>
      <patternFill patternType="solid">
        <fgColor rgb="FF375623"/>
        <bgColor rgb="FF3333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bottom" textRotation="0" wrapText="false" indent="0" shrinkToFit="false"/>
      <protection locked="true" hidden="false"/>
    </xf>
    <xf numFmtId="164" fontId="5" fillId="9" borderId="1" xfId="0" applyFont="true" applyBorder="true" applyAlignment="true" applyProtection="false">
      <alignment horizontal="general" vertical="bottom" textRotation="0" wrapText="false" indent="0" shrinkToFit="false"/>
      <protection locked="true" hidden="false"/>
    </xf>
    <xf numFmtId="164" fontId="5" fillId="10" borderId="1" xfId="0" applyFont="true" applyBorder="true" applyAlignment="true" applyProtection="false">
      <alignment horizontal="general" vertical="bottom" textRotation="0" wrapText="fals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11"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4" fontId="5" fillId="12" borderId="1" xfId="0" applyFont="true" applyBorder="true" applyAlignment="false" applyProtection="false">
      <alignment horizontal="general" vertical="bottom" textRotation="0" wrapText="false" indent="0" shrinkToFit="false"/>
      <protection locked="true" hidden="false"/>
    </xf>
    <xf numFmtId="164" fontId="5" fillId="10" borderId="1" xfId="0" applyFont="true" applyBorder="true" applyAlignment="false" applyProtection="false">
      <alignment horizontal="general" vertical="bottom" textRotation="0" wrapText="false" indent="0" shrinkToFit="false"/>
      <protection locked="true" hidden="false"/>
    </xf>
    <xf numFmtId="164" fontId="5" fillId="9"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11" fillId="13" borderId="0" xfId="0" applyFont="true" applyBorder="false" applyAlignment="true" applyProtection="false">
      <alignment horizontal="general" vertical="center" textRotation="0" wrapText="false" indent="0" shrinkToFit="false"/>
      <protection locked="true" hidden="false"/>
    </xf>
    <xf numFmtId="164" fontId="11" fillId="14"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AEEF3"/>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ADCF4"/>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E4DFEC"/>
          <bgColor rgb="FF000000"/>
        </patternFill>
      </fill>
    </dxf>
    <dxf>
      <fill>
        <patternFill patternType="solid">
          <fgColor rgb="FFF2DCD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4DFEC"/>
      <rgbColor rgb="FF808080"/>
      <rgbColor rgb="FF9999FF"/>
      <rgbColor rgb="FF993366"/>
      <rgbColor rgb="FFFFF2CC"/>
      <rgbColor rgb="FFDAEE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DEBF7"/>
      <rgbColor rgb="FFE2EFDA"/>
      <rgbColor rgb="FFFCE4D6"/>
      <rgbColor rgb="FFEADCF4"/>
      <rgbColor rgb="FFF2DCDB"/>
      <rgbColor rgb="FFEDEDED"/>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833C0B"/>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15" hidden="false" customHeight="false" outlineLevel="0" collapsed="false">
      <c r="A7" s="2" t="s">
        <v>4</v>
      </c>
    </row>
    <row r="8" customFormat="false" ht="23.8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23.85" hidden="false" customHeight="false" outlineLevel="0" collapsed="false">
      <c r="A12" s="2" t="s">
        <v>8</v>
      </c>
    </row>
    <row r="13" customFormat="false" ht="15" hidden="false" customHeight="false" outlineLevel="0" collapsed="false">
      <c r="A13" s="2" t="s">
        <v>9</v>
      </c>
    </row>
    <row r="14" customFormat="false" ht="23.8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23.85" hidden="false" customHeight="false" outlineLevel="0" collapsed="false">
      <c r="A17" s="2" t="s">
        <v>12</v>
      </c>
    </row>
    <row r="18" customFormat="false" ht="23.8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row>
    <row r="21" customFormat="false" ht="15" hidden="false" customHeight="false" outlineLevel="0" collapsed="false">
      <c r="A21" s="3" t="s">
        <v>15</v>
      </c>
    </row>
    <row r="22" customFormat="false" ht="23.85" hidden="false" customHeight="false" outlineLevel="0" collapsed="false">
      <c r="A22"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4" width="8"/>
    <col collapsed="false" customWidth="true" hidden="false" outlineLevel="0" max="2" min="2" style="4" width="28"/>
    <col collapsed="false" customWidth="true" hidden="false" outlineLevel="0" max="3" min="3" style="4" width="52"/>
    <col collapsed="false" customWidth="true" hidden="false" outlineLevel="0" max="4" min="4" style="4" width="13"/>
    <col collapsed="false" customWidth="true" hidden="false" outlineLevel="0" max="5" min="5" style="4" width="48"/>
    <col collapsed="false" customWidth="true" hidden="false" outlineLevel="0" max="6" min="6" style="4" width="24"/>
    <col collapsed="false" customWidth="true" hidden="false" outlineLevel="0" max="7" min="7" style="4" width="58"/>
  </cols>
  <sheetData>
    <row r="1" customFormat="false" ht="30" hidden="false" customHeight="true" outlineLevel="0" collapsed="false">
      <c r="A1" s="5" t="s">
        <v>17</v>
      </c>
      <c r="B1" s="5" t="s">
        <v>18</v>
      </c>
      <c r="C1" s="5" t="s">
        <v>19</v>
      </c>
      <c r="D1" s="5" t="s">
        <v>20</v>
      </c>
      <c r="E1" s="5" t="s">
        <v>21</v>
      </c>
      <c r="F1" s="5" t="s">
        <v>22</v>
      </c>
      <c r="G1" s="5" t="s">
        <v>23</v>
      </c>
    </row>
    <row r="2" customFormat="false" ht="15" hidden="false" customHeight="true" outlineLevel="0" collapsed="false">
      <c r="A2" s="6" t="s">
        <v>24</v>
      </c>
      <c r="B2" s="7" t="s">
        <v>25</v>
      </c>
      <c r="C2" s="6" t="s">
        <v>26</v>
      </c>
      <c r="D2" s="6" t="s">
        <v>27</v>
      </c>
      <c r="E2" s="6" t="s">
        <v>28</v>
      </c>
      <c r="F2" s="6" t="s">
        <v>29</v>
      </c>
      <c r="G2" s="6" t="s">
        <v>30</v>
      </c>
    </row>
    <row r="3" customFormat="false" ht="15" hidden="false" customHeight="true" outlineLevel="0" collapsed="false">
      <c r="A3" s="6" t="s">
        <v>31</v>
      </c>
      <c r="B3" s="7" t="s">
        <v>25</v>
      </c>
      <c r="C3" s="6" t="s">
        <v>32</v>
      </c>
      <c r="D3" s="6" t="s">
        <v>27</v>
      </c>
      <c r="E3" s="6" t="s">
        <v>28</v>
      </c>
      <c r="F3" s="6" t="s">
        <v>29</v>
      </c>
      <c r="G3" s="6" t="s">
        <v>30</v>
      </c>
    </row>
    <row r="4" customFormat="false" ht="15" hidden="false" customHeight="true" outlineLevel="0" collapsed="false">
      <c r="A4" s="6" t="s">
        <v>33</v>
      </c>
      <c r="B4" s="7" t="s">
        <v>25</v>
      </c>
      <c r="C4" s="6" t="s">
        <v>34</v>
      </c>
      <c r="D4" s="6" t="s">
        <v>27</v>
      </c>
      <c r="E4" s="6" t="s">
        <v>28</v>
      </c>
      <c r="F4" s="6" t="s">
        <v>29</v>
      </c>
      <c r="G4" s="6" t="s">
        <v>30</v>
      </c>
    </row>
    <row r="5" customFormat="false" ht="15" hidden="false" customHeight="true" outlineLevel="0" collapsed="false">
      <c r="A5" s="6" t="s">
        <v>35</v>
      </c>
      <c r="B5" s="7" t="s">
        <v>25</v>
      </c>
      <c r="C5" s="6" t="s">
        <v>36</v>
      </c>
      <c r="D5" s="6" t="s">
        <v>37</v>
      </c>
      <c r="E5" s="6" t="s">
        <v>38</v>
      </c>
      <c r="F5" s="6" t="s">
        <v>29</v>
      </c>
      <c r="G5" s="6" t="s">
        <v>39</v>
      </c>
    </row>
    <row r="6" customFormat="false" ht="15" hidden="false" customHeight="true" outlineLevel="0" collapsed="false">
      <c r="A6" s="6" t="s">
        <v>40</v>
      </c>
      <c r="B6" s="7" t="s">
        <v>25</v>
      </c>
      <c r="C6" s="6" t="s">
        <v>41</v>
      </c>
      <c r="D6" s="6" t="s">
        <v>37</v>
      </c>
      <c r="E6" s="6" t="s">
        <v>42</v>
      </c>
      <c r="F6" s="6" t="s">
        <v>29</v>
      </c>
      <c r="G6" s="6" t="s">
        <v>30</v>
      </c>
    </row>
    <row r="7" customFormat="false" ht="15" hidden="false" customHeight="true" outlineLevel="0" collapsed="false">
      <c r="A7" s="6" t="s">
        <v>43</v>
      </c>
      <c r="B7" s="7" t="s">
        <v>25</v>
      </c>
      <c r="C7" s="6" t="s">
        <v>44</v>
      </c>
      <c r="D7" s="6" t="s">
        <v>27</v>
      </c>
      <c r="E7" s="6" t="s">
        <v>28</v>
      </c>
      <c r="F7" s="6" t="s">
        <v>29</v>
      </c>
      <c r="G7" s="6" t="s">
        <v>30</v>
      </c>
    </row>
    <row r="8" customFormat="false" ht="15" hidden="false" customHeight="true" outlineLevel="0" collapsed="false">
      <c r="A8" s="6" t="s">
        <v>45</v>
      </c>
      <c r="B8" s="7" t="s">
        <v>25</v>
      </c>
      <c r="C8" s="6" t="s">
        <v>46</v>
      </c>
      <c r="D8" s="6" t="s">
        <v>27</v>
      </c>
      <c r="E8" s="6" t="s">
        <v>28</v>
      </c>
      <c r="F8" s="6" t="s">
        <v>29</v>
      </c>
      <c r="G8" s="6" t="s">
        <v>30</v>
      </c>
    </row>
    <row r="9" customFormat="false" ht="15" hidden="false" customHeight="true" outlineLevel="0" collapsed="false">
      <c r="A9" s="6" t="s">
        <v>47</v>
      </c>
      <c r="B9" s="7" t="s">
        <v>25</v>
      </c>
      <c r="C9" s="6" t="s">
        <v>48</v>
      </c>
      <c r="D9" s="6" t="s">
        <v>49</v>
      </c>
      <c r="E9" s="6" t="s">
        <v>50</v>
      </c>
      <c r="F9" s="6" t="s">
        <v>29</v>
      </c>
      <c r="G9" s="6" t="s">
        <v>30</v>
      </c>
    </row>
    <row r="10" customFormat="false" ht="15" hidden="false" customHeight="true" outlineLevel="0" collapsed="false">
      <c r="A10" s="6" t="s">
        <v>51</v>
      </c>
      <c r="B10" s="7" t="s">
        <v>25</v>
      </c>
      <c r="C10" s="6" t="s">
        <v>52</v>
      </c>
      <c r="D10" s="6" t="s">
        <v>49</v>
      </c>
      <c r="E10" s="6" t="s">
        <v>50</v>
      </c>
      <c r="F10" s="6" t="s">
        <v>29</v>
      </c>
      <c r="G10" s="6" t="s">
        <v>53</v>
      </c>
    </row>
    <row r="11" customFormat="false" ht="15" hidden="false" customHeight="true" outlineLevel="0" collapsed="false">
      <c r="A11" s="6" t="s">
        <v>54</v>
      </c>
      <c r="B11" s="7" t="s">
        <v>25</v>
      </c>
      <c r="C11" s="6" t="s">
        <v>55</v>
      </c>
      <c r="D11" s="6" t="s">
        <v>27</v>
      </c>
      <c r="E11" s="6" t="s">
        <v>28</v>
      </c>
      <c r="F11" s="6" t="s">
        <v>29</v>
      </c>
      <c r="G11" s="6" t="s">
        <v>56</v>
      </c>
    </row>
    <row r="12" customFormat="false" ht="15" hidden="false" customHeight="true" outlineLevel="0" collapsed="false">
      <c r="A12" s="6" t="s">
        <v>57</v>
      </c>
      <c r="B12" s="7" t="s">
        <v>25</v>
      </c>
      <c r="C12" s="6" t="s">
        <v>58</v>
      </c>
      <c r="D12" s="6" t="s">
        <v>37</v>
      </c>
      <c r="E12" s="6" t="s">
        <v>59</v>
      </c>
      <c r="F12" s="6" t="s">
        <v>60</v>
      </c>
      <c r="G12" s="6" t="s">
        <v>61</v>
      </c>
    </row>
    <row r="13" customFormat="false" ht="15" hidden="false" customHeight="true" outlineLevel="0" collapsed="false">
      <c r="A13" s="6" t="s">
        <v>62</v>
      </c>
      <c r="B13" s="8" t="s">
        <v>63</v>
      </c>
      <c r="C13" s="6" t="s">
        <v>64</v>
      </c>
      <c r="D13" s="6" t="s">
        <v>27</v>
      </c>
      <c r="E13" s="6" t="s">
        <v>28</v>
      </c>
      <c r="F13" s="6" t="s">
        <v>29</v>
      </c>
      <c r="G13" s="6" t="s">
        <v>65</v>
      </c>
    </row>
    <row r="14" customFormat="false" ht="15" hidden="false" customHeight="true" outlineLevel="0" collapsed="false">
      <c r="A14" s="6" t="s">
        <v>66</v>
      </c>
      <c r="B14" s="8" t="s">
        <v>63</v>
      </c>
      <c r="C14" s="6" t="s">
        <v>67</v>
      </c>
      <c r="D14" s="6" t="s">
        <v>27</v>
      </c>
      <c r="E14" s="6" t="s">
        <v>28</v>
      </c>
      <c r="F14" s="6" t="s">
        <v>29</v>
      </c>
      <c r="G14" s="6"/>
    </row>
    <row r="15" customFormat="false" ht="15" hidden="false" customHeight="true" outlineLevel="0" collapsed="false">
      <c r="A15" s="6" t="s">
        <v>68</v>
      </c>
      <c r="B15" s="8" t="s">
        <v>63</v>
      </c>
      <c r="C15" s="6" t="s">
        <v>69</v>
      </c>
      <c r="D15" s="6" t="s">
        <v>27</v>
      </c>
      <c r="E15" s="6" t="s">
        <v>28</v>
      </c>
      <c r="F15" s="6" t="s">
        <v>29</v>
      </c>
      <c r="G15" s="6"/>
    </row>
    <row r="16" customFormat="false" ht="15" hidden="false" customHeight="true" outlineLevel="0" collapsed="false">
      <c r="A16" s="6" t="s">
        <v>70</v>
      </c>
      <c r="B16" s="8" t="s">
        <v>63</v>
      </c>
      <c r="C16" s="6" t="s">
        <v>71</v>
      </c>
      <c r="D16" s="6" t="s">
        <v>27</v>
      </c>
      <c r="E16" s="6" t="s">
        <v>28</v>
      </c>
      <c r="F16" s="6" t="s">
        <v>29</v>
      </c>
      <c r="G16" s="6" t="s">
        <v>72</v>
      </c>
    </row>
    <row r="17" customFormat="false" ht="15" hidden="false" customHeight="true" outlineLevel="0" collapsed="false">
      <c r="A17" s="6" t="s">
        <v>73</v>
      </c>
      <c r="B17" s="8" t="s">
        <v>63</v>
      </c>
      <c r="C17" s="6" t="s">
        <v>74</v>
      </c>
      <c r="D17" s="6" t="s">
        <v>27</v>
      </c>
      <c r="E17" s="6" t="s">
        <v>28</v>
      </c>
      <c r="F17" s="6" t="s">
        <v>29</v>
      </c>
      <c r="G17" s="6"/>
    </row>
    <row r="18" customFormat="false" ht="15" hidden="false" customHeight="true" outlineLevel="0" collapsed="false">
      <c r="A18" s="6" t="s">
        <v>75</v>
      </c>
      <c r="B18" s="8" t="s">
        <v>63</v>
      </c>
      <c r="C18" s="6" t="s">
        <v>76</v>
      </c>
      <c r="D18" s="6" t="s">
        <v>27</v>
      </c>
      <c r="E18" s="6" t="s">
        <v>28</v>
      </c>
      <c r="F18" s="6" t="s">
        <v>29</v>
      </c>
      <c r="G18" s="6" t="s">
        <v>77</v>
      </c>
    </row>
    <row r="19" customFormat="false" ht="15" hidden="false" customHeight="true" outlineLevel="0" collapsed="false">
      <c r="A19" s="6" t="s">
        <v>78</v>
      </c>
      <c r="B19" s="8" t="s">
        <v>63</v>
      </c>
      <c r="C19" s="6" t="s">
        <v>79</v>
      </c>
      <c r="D19" s="6" t="s">
        <v>37</v>
      </c>
      <c r="E19" s="6" t="s">
        <v>80</v>
      </c>
      <c r="F19" s="6" t="s">
        <v>29</v>
      </c>
      <c r="G19" s="6" t="s">
        <v>81</v>
      </c>
    </row>
    <row r="20" customFormat="false" ht="15" hidden="false" customHeight="true" outlineLevel="0" collapsed="false">
      <c r="A20" s="6" t="s">
        <v>82</v>
      </c>
      <c r="B20" s="8" t="s">
        <v>63</v>
      </c>
      <c r="C20" s="6" t="s">
        <v>83</v>
      </c>
      <c r="D20" s="6" t="s">
        <v>49</v>
      </c>
      <c r="E20" s="6" t="s">
        <v>50</v>
      </c>
      <c r="F20" s="6" t="s">
        <v>29</v>
      </c>
      <c r="G20" s="6" t="s">
        <v>30</v>
      </c>
    </row>
    <row r="21" customFormat="false" ht="15" hidden="false" customHeight="true" outlineLevel="0" collapsed="false">
      <c r="A21" s="6" t="s">
        <v>84</v>
      </c>
      <c r="B21" s="8" t="s">
        <v>63</v>
      </c>
      <c r="C21" s="6" t="s">
        <v>85</v>
      </c>
      <c r="D21" s="6" t="s">
        <v>37</v>
      </c>
      <c r="E21" s="6" t="s">
        <v>86</v>
      </c>
      <c r="F21" s="6" t="s">
        <v>29</v>
      </c>
      <c r="G21" s="6" t="s">
        <v>87</v>
      </c>
    </row>
    <row r="22" customFormat="false" ht="15" hidden="false" customHeight="true" outlineLevel="0" collapsed="false">
      <c r="A22" s="6" t="s">
        <v>88</v>
      </c>
      <c r="B22" s="8" t="s">
        <v>63</v>
      </c>
      <c r="C22" s="6" t="s">
        <v>89</v>
      </c>
      <c r="D22" s="6" t="s">
        <v>37</v>
      </c>
      <c r="E22" s="6" t="s">
        <v>90</v>
      </c>
      <c r="F22" s="6" t="s">
        <v>91</v>
      </c>
      <c r="G22" s="6" t="s">
        <v>92</v>
      </c>
    </row>
    <row r="23" customFormat="false" ht="15" hidden="false" customHeight="true" outlineLevel="0" collapsed="false">
      <c r="A23" s="6" t="s">
        <v>93</v>
      </c>
      <c r="B23" s="9" t="s">
        <v>94</v>
      </c>
      <c r="C23" s="6" t="s">
        <v>95</v>
      </c>
      <c r="D23" s="6" t="s">
        <v>27</v>
      </c>
      <c r="E23" s="6" t="s">
        <v>28</v>
      </c>
      <c r="F23" s="6" t="s">
        <v>29</v>
      </c>
      <c r="G23" s="6" t="s">
        <v>96</v>
      </c>
    </row>
    <row r="24" customFormat="false" ht="15" hidden="false" customHeight="true" outlineLevel="0" collapsed="false">
      <c r="A24" s="6" t="s">
        <v>97</v>
      </c>
      <c r="B24" s="9" t="s">
        <v>94</v>
      </c>
      <c r="C24" s="6" t="s">
        <v>98</v>
      </c>
      <c r="D24" s="6" t="s">
        <v>27</v>
      </c>
      <c r="E24" s="6" t="s">
        <v>28</v>
      </c>
      <c r="F24" s="6" t="s">
        <v>29</v>
      </c>
      <c r="G24" s="6"/>
    </row>
    <row r="25" customFormat="false" ht="15" hidden="false" customHeight="true" outlineLevel="0" collapsed="false">
      <c r="A25" s="6" t="s">
        <v>99</v>
      </c>
      <c r="B25" s="9" t="s">
        <v>94</v>
      </c>
      <c r="C25" s="6" t="s">
        <v>100</v>
      </c>
      <c r="D25" s="6" t="s">
        <v>27</v>
      </c>
      <c r="E25" s="6" t="s">
        <v>28</v>
      </c>
      <c r="F25" s="6" t="s">
        <v>29</v>
      </c>
      <c r="G25" s="6" t="s">
        <v>101</v>
      </c>
    </row>
    <row r="26" customFormat="false" ht="15" hidden="false" customHeight="true" outlineLevel="0" collapsed="false">
      <c r="A26" s="6" t="s">
        <v>102</v>
      </c>
      <c r="B26" s="9" t="s">
        <v>94</v>
      </c>
      <c r="C26" s="6" t="s">
        <v>103</v>
      </c>
      <c r="D26" s="6" t="s">
        <v>49</v>
      </c>
      <c r="E26" s="6" t="s">
        <v>50</v>
      </c>
      <c r="F26" s="6" t="s">
        <v>29</v>
      </c>
      <c r="G26" s="6" t="s">
        <v>101</v>
      </c>
    </row>
    <row r="27" customFormat="false" ht="15" hidden="false" customHeight="true" outlineLevel="0" collapsed="false">
      <c r="A27" s="6" t="s">
        <v>104</v>
      </c>
      <c r="B27" s="9" t="s">
        <v>94</v>
      </c>
      <c r="C27" s="6" t="s">
        <v>105</v>
      </c>
      <c r="D27" s="6" t="s">
        <v>27</v>
      </c>
      <c r="E27" s="6" t="s">
        <v>28</v>
      </c>
      <c r="F27" s="6" t="s">
        <v>29</v>
      </c>
      <c r="G27" s="6" t="s">
        <v>101</v>
      </c>
    </row>
    <row r="28" customFormat="false" ht="15" hidden="false" customHeight="true" outlineLevel="0" collapsed="false">
      <c r="A28" s="6" t="s">
        <v>106</v>
      </c>
      <c r="B28" s="9" t="s">
        <v>94</v>
      </c>
      <c r="C28" s="6" t="s">
        <v>107</v>
      </c>
      <c r="D28" s="6" t="s">
        <v>27</v>
      </c>
      <c r="E28" s="6" t="s">
        <v>28</v>
      </c>
      <c r="F28" s="6" t="s">
        <v>29</v>
      </c>
      <c r="G28" s="6" t="s">
        <v>101</v>
      </c>
    </row>
    <row r="29" customFormat="false" ht="15" hidden="false" customHeight="true" outlineLevel="0" collapsed="false">
      <c r="A29" s="6" t="s">
        <v>108</v>
      </c>
      <c r="B29" s="9" t="s">
        <v>94</v>
      </c>
      <c r="C29" s="6" t="s">
        <v>109</v>
      </c>
      <c r="D29" s="6" t="s">
        <v>37</v>
      </c>
      <c r="E29" s="6" t="s">
        <v>38</v>
      </c>
      <c r="F29" s="6" t="s">
        <v>29</v>
      </c>
      <c r="G29" s="6" t="s">
        <v>101</v>
      </c>
    </row>
    <row r="30" customFormat="false" ht="15" hidden="false" customHeight="true" outlineLevel="0" collapsed="false">
      <c r="A30" s="6" t="s">
        <v>110</v>
      </c>
      <c r="B30" s="10" t="s">
        <v>111</v>
      </c>
      <c r="C30" s="6" t="s">
        <v>112</v>
      </c>
      <c r="D30" s="6" t="s">
        <v>27</v>
      </c>
      <c r="E30" s="6" t="s">
        <v>28</v>
      </c>
      <c r="F30" s="6" t="s">
        <v>29</v>
      </c>
      <c r="G30" s="6" t="s">
        <v>113</v>
      </c>
    </row>
    <row r="31" customFormat="false" ht="15" hidden="false" customHeight="true" outlineLevel="0" collapsed="false">
      <c r="A31" s="6" t="s">
        <v>114</v>
      </c>
      <c r="B31" s="10" t="s">
        <v>111</v>
      </c>
      <c r="C31" s="6" t="s">
        <v>115</v>
      </c>
      <c r="D31" s="6" t="s">
        <v>49</v>
      </c>
      <c r="E31" s="6" t="s">
        <v>50</v>
      </c>
      <c r="F31" s="6" t="s">
        <v>29</v>
      </c>
      <c r="G31" s="6" t="s">
        <v>113</v>
      </c>
    </row>
    <row r="32" customFormat="false" ht="15" hidden="false" customHeight="true" outlineLevel="0" collapsed="false">
      <c r="A32" s="6" t="s">
        <v>116</v>
      </c>
      <c r="B32" s="10" t="s">
        <v>111</v>
      </c>
      <c r="C32" s="6" t="s">
        <v>117</v>
      </c>
      <c r="D32" s="6" t="s">
        <v>27</v>
      </c>
      <c r="E32" s="6" t="s">
        <v>28</v>
      </c>
      <c r="F32" s="6" t="s">
        <v>29</v>
      </c>
      <c r="G32" s="6" t="s">
        <v>113</v>
      </c>
    </row>
    <row r="33" customFormat="false" ht="15" hidden="false" customHeight="true" outlineLevel="0" collapsed="false">
      <c r="A33" s="6" t="s">
        <v>118</v>
      </c>
      <c r="B33" s="10" t="s">
        <v>111</v>
      </c>
      <c r="C33" s="6" t="s">
        <v>119</v>
      </c>
      <c r="D33" s="6" t="s">
        <v>49</v>
      </c>
      <c r="E33" s="6" t="s">
        <v>50</v>
      </c>
      <c r="F33" s="6" t="s">
        <v>29</v>
      </c>
      <c r="G33" s="6" t="s">
        <v>120</v>
      </c>
    </row>
    <row r="34" customFormat="false" ht="15" hidden="false" customHeight="true" outlineLevel="0" collapsed="false">
      <c r="A34" s="6" t="s">
        <v>121</v>
      </c>
      <c r="B34" s="10" t="s">
        <v>111</v>
      </c>
      <c r="C34" s="6" t="s">
        <v>122</v>
      </c>
      <c r="D34" s="6" t="s">
        <v>49</v>
      </c>
      <c r="E34" s="6" t="s">
        <v>50</v>
      </c>
      <c r="F34" s="6" t="s">
        <v>29</v>
      </c>
      <c r="G34" s="6"/>
    </row>
    <row r="35" customFormat="false" ht="15" hidden="false" customHeight="true" outlineLevel="0" collapsed="false">
      <c r="A35" s="6" t="s">
        <v>123</v>
      </c>
      <c r="B35" s="10" t="s">
        <v>111</v>
      </c>
      <c r="C35" s="6" t="s">
        <v>124</v>
      </c>
      <c r="D35" s="6" t="s">
        <v>27</v>
      </c>
      <c r="E35" s="6" t="s">
        <v>28</v>
      </c>
      <c r="F35" s="6" t="s">
        <v>29</v>
      </c>
      <c r="G35" s="6" t="s">
        <v>125</v>
      </c>
    </row>
    <row r="36" customFormat="false" ht="15" hidden="false" customHeight="true" outlineLevel="0" collapsed="false">
      <c r="A36" s="6" t="s">
        <v>126</v>
      </c>
      <c r="B36" s="10" t="s">
        <v>111</v>
      </c>
      <c r="C36" s="6" t="s">
        <v>127</v>
      </c>
      <c r="D36" s="6" t="s">
        <v>37</v>
      </c>
      <c r="E36" s="6" t="s">
        <v>128</v>
      </c>
      <c r="F36" s="6" t="s">
        <v>29</v>
      </c>
      <c r="G36" s="6"/>
    </row>
    <row r="37" customFormat="false" ht="15" hidden="false" customHeight="true" outlineLevel="0" collapsed="false">
      <c r="A37" s="6" t="s">
        <v>129</v>
      </c>
      <c r="B37" s="11" t="s">
        <v>130</v>
      </c>
      <c r="C37" s="6" t="s">
        <v>131</v>
      </c>
      <c r="D37" s="6" t="s">
        <v>27</v>
      </c>
      <c r="E37" s="6" t="s">
        <v>28</v>
      </c>
      <c r="F37" s="6" t="s">
        <v>29</v>
      </c>
      <c r="G37" s="6" t="s">
        <v>132</v>
      </c>
    </row>
    <row r="38" customFormat="false" ht="15" hidden="false" customHeight="true" outlineLevel="0" collapsed="false">
      <c r="A38" s="6" t="s">
        <v>133</v>
      </c>
      <c r="B38" s="11" t="s">
        <v>130</v>
      </c>
      <c r="C38" s="6" t="s">
        <v>134</v>
      </c>
      <c r="D38" s="6" t="s">
        <v>27</v>
      </c>
      <c r="E38" s="6" t="s">
        <v>28</v>
      </c>
      <c r="F38" s="6" t="s">
        <v>29</v>
      </c>
      <c r="G38" s="6"/>
    </row>
    <row r="39" customFormat="false" ht="15" hidden="false" customHeight="true" outlineLevel="0" collapsed="false">
      <c r="A39" s="6" t="s">
        <v>135</v>
      </c>
      <c r="B39" s="11" t="s">
        <v>130</v>
      </c>
      <c r="C39" s="6" t="s">
        <v>136</v>
      </c>
      <c r="D39" s="6" t="s">
        <v>37</v>
      </c>
      <c r="E39" s="6" t="s">
        <v>42</v>
      </c>
      <c r="F39" s="6" t="s">
        <v>29</v>
      </c>
      <c r="G39" s="6"/>
    </row>
    <row r="40" customFormat="false" ht="15" hidden="false" customHeight="true" outlineLevel="0" collapsed="false">
      <c r="A40" s="6" t="s">
        <v>137</v>
      </c>
      <c r="B40" s="11" t="s">
        <v>130</v>
      </c>
      <c r="C40" s="6" t="s">
        <v>138</v>
      </c>
      <c r="D40" s="6" t="s">
        <v>27</v>
      </c>
      <c r="E40" s="6" t="s">
        <v>28</v>
      </c>
      <c r="F40" s="6" t="s">
        <v>29</v>
      </c>
      <c r="G40" s="6"/>
    </row>
    <row r="41" customFormat="false" ht="15" hidden="false" customHeight="true" outlineLevel="0" collapsed="false">
      <c r="A41" s="6" t="s">
        <v>139</v>
      </c>
      <c r="B41" s="11" t="s">
        <v>130</v>
      </c>
      <c r="C41" s="6" t="s">
        <v>140</v>
      </c>
      <c r="D41" s="6" t="s">
        <v>27</v>
      </c>
      <c r="E41" s="6" t="s">
        <v>28</v>
      </c>
      <c r="F41" s="6" t="s">
        <v>29</v>
      </c>
      <c r="G41" s="6" t="s">
        <v>141</v>
      </c>
    </row>
    <row r="42" customFormat="false" ht="15" hidden="false" customHeight="true" outlineLevel="0" collapsed="false">
      <c r="A42" s="6" t="s">
        <v>142</v>
      </c>
      <c r="B42" s="11" t="s">
        <v>130</v>
      </c>
      <c r="C42" s="6" t="s">
        <v>143</v>
      </c>
      <c r="D42" s="6" t="s">
        <v>49</v>
      </c>
      <c r="E42" s="6" t="s">
        <v>50</v>
      </c>
      <c r="F42" s="6" t="s">
        <v>29</v>
      </c>
      <c r="G42" s="6"/>
    </row>
    <row r="43" customFormat="false" ht="15" hidden="false" customHeight="true" outlineLevel="0" collapsed="false">
      <c r="A43" s="6" t="s">
        <v>144</v>
      </c>
      <c r="B43" s="11" t="s">
        <v>130</v>
      </c>
      <c r="C43" s="6" t="s">
        <v>145</v>
      </c>
      <c r="D43" s="6" t="s">
        <v>27</v>
      </c>
      <c r="E43" s="6" t="s">
        <v>28</v>
      </c>
      <c r="F43" s="6" t="s">
        <v>29</v>
      </c>
      <c r="G43" s="6" t="s">
        <v>146</v>
      </c>
    </row>
    <row r="44" customFormat="false" ht="15" hidden="false" customHeight="true" outlineLevel="0" collapsed="false">
      <c r="A44" s="6" t="s">
        <v>147</v>
      </c>
      <c r="B44" s="11" t="s">
        <v>130</v>
      </c>
      <c r="C44" s="6" t="s">
        <v>148</v>
      </c>
      <c r="D44" s="6" t="s">
        <v>27</v>
      </c>
      <c r="E44" s="6" t="s">
        <v>28</v>
      </c>
      <c r="F44" s="6" t="s">
        <v>29</v>
      </c>
      <c r="G44" s="6" t="s">
        <v>146</v>
      </c>
    </row>
    <row r="45" customFormat="false" ht="15" hidden="false" customHeight="true" outlineLevel="0" collapsed="false">
      <c r="A45" s="6" t="s">
        <v>149</v>
      </c>
      <c r="B45" s="11" t="s">
        <v>130</v>
      </c>
      <c r="C45" s="6" t="s">
        <v>150</v>
      </c>
      <c r="D45" s="6" t="s">
        <v>27</v>
      </c>
      <c r="E45" s="6" t="s">
        <v>28</v>
      </c>
      <c r="F45" s="6" t="s">
        <v>29</v>
      </c>
      <c r="G45" s="6"/>
    </row>
    <row r="46" customFormat="false" ht="15" hidden="false" customHeight="true" outlineLevel="0" collapsed="false">
      <c r="A46" s="6" t="s">
        <v>151</v>
      </c>
      <c r="B46" s="11" t="s">
        <v>130</v>
      </c>
      <c r="C46" s="6" t="s">
        <v>152</v>
      </c>
      <c r="D46" s="6" t="s">
        <v>27</v>
      </c>
      <c r="E46" s="6" t="s">
        <v>28</v>
      </c>
      <c r="F46" s="6" t="s">
        <v>29</v>
      </c>
      <c r="G46" s="6"/>
    </row>
    <row r="47" customFormat="false" ht="15" hidden="false" customHeight="true" outlineLevel="0" collapsed="false">
      <c r="A47" s="6" t="s">
        <v>153</v>
      </c>
      <c r="B47" s="12" t="s">
        <v>154</v>
      </c>
      <c r="C47" s="6" t="s">
        <v>155</v>
      </c>
      <c r="D47" s="6" t="s">
        <v>27</v>
      </c>
      <c r="E47" s="6" t="s">
        <v>156</v>
      </c>
      <c r="F47" s="6" t="s">
        <v>91</v>
      </c>
      <c r="G47" s="6" t="s">
        <v>157</v>
      </c>
    </row>
    <row r="48" customFormat="false" ht="15" hidden="false" customHeight="true" outlineLevel="0" collapsed="false">
      <c r="A48" s="6" t="s">
        <v>158</v>
      </c>
      <c r="B48" s="12" t="s">
        <v>154</v>
      </c>
      <c r="C48" s="6" t="s">
        <v>159</v>
      </c>
      <c r="D48" s="6" t="s">
        <v>27</v>
      </c>
      <c r="E48" s="6" t="s">
        <v>156</v>
      </c>
      <c r="F48" s="6" t="s">
        <v>91</v>
      </c>
      <c r="G48" s="6" t="s">
        <v>157</v>
      </c>
    </row>
    <row r="49" customFormat="false" ht="15" hidden="false" customHeight="true" outlineLevel="0" collapsed="false">
      <c r="A49" s="6" t="s">
        <v>160</v>
      </c>
      <c r="B49" s="12" t="s">
        <v>154</v>
      </c>
      <c r="C49" s="6" t="s">
        <v>161</v>
      </c>
      <c r="D49" s="6" t="s">
        <v>27</v>
      </c>
      <c r="E49" s="6" t="s">
        <v>162</v>
      </c>
      <c r="F49" s="6" t="s">
        <v>91</v>
      </c>
      <c r="G49" s="6" t="s">
        <v>157</v>
      </c>
    </row>
    <row r="50" customFormat="false" ht="15" hidden="false" customHeight="true" outlineLevel="0" collapsed="false">
      <c r="A50" s="6" t="s">
        <v>163</v>
      </c>
      <c r="B50" s="12" t="s">
        <v>154</v>
      </c>
      <c r="C50" s="6" t="s">
        <v>164</v>
      </c>
      <c r="D50" s="6" t="s">
        <v>49</v>
      </c>
      <c r="E50" s="6" t="s">
        <v>50</v>
      </c>
      <c r="F50" s="6" t="s">
        <v>29</v>
      </c>
      <c r="G50" s="6"/>
    </row>
    <row r="51" customFormat="false" ht="15" hidden="false" customHeight="true" outlineLevel="0" collapsed="false">
      <c r="A51" s="6" t="s">
        <v>165</v>
      </c>
      <c r="B51" s="12" t="s">
        <v>154</v>
      </c>
      <c r="C51" s="6" t="s">
        <v>166</v>
      </c>
      <c r="D51" s="6" t="s">
        <v>27</v>
      </c>
      <c r="E51" s="6" t="s">
        <v>28</v>
      </c>
      <c r="F51" s="6" t="s">
        <v>29</v>
      </c>
      <c r="G51" s="6"/>
    </row>
    <row r="52" customFormat="false" ht="15" hidden="false" customHeight="true" outlineLevel="0" collapsed="false">
      <c r="A52" s="6" t="s">
        <v>167</v>
      </c>
      <c r="B52" s="12" t="s">
        <v>154</v>
      </c>
      <c r="C52" s="6" t="s">
        <v>168</v>
      </c>
      <c r="D52" s="6" t="s">
        <v>37</v>
      </c>
      <c r="E52" s="6" t="s">
        <v>169</v>
      </c>
      <c r="F52" s="6" t="s">
        <v>60</v>
      </c>
      <c r="G52" s="6"/>
    </row>
    <row r="53" customFormat="false" ht="15" hidden="false" customHeight="true" outlineLevel="0" collapsed="false">
      <c r="A53" s="6" t="s">
        <v>170</v>
      </c>
      <c r="B53" s="12" t="s">
        <v>154</v>
      </c>
      <c r="C53" s="6" t="s">
        <v>171</v>
      </c>
      <c r="D53" s="6" t="s">
        <v>49</v>
      </c>
      <c r="E53" s="6" t="s">
        <v>50</v>
      </c>
      <c r="F53" s="6" t="s">
        <v>29</v>
      </c>
      <c r="G53" s="6"/>
    </row>
    <row r="54" customFormat="false" ht="15" hidden="false" customHeight="true" outlineLevel="0" collapsed="false">
      <c r="A54" s="6" t="s">
        <v>172</v>
      </c>
      <c r="B54" s="12" t="s">
        <v>154</v>
      </c>
      <c r="C54" s="6" t="s">
        <v>173</v>
      </c>
      <c r="D54" s="6" t="s">
        <v>27</v>
      </c>
      <c r="E54" s="6" t="s">
        <v>28</v>
      </c>
      <c r="F54" s="6" t="s">
        <v>29</v>
      </c>
      <c r="G54" s="6"/>
    </row>
    <row r="55" customFormat="false" ht="15" hidden="false" customHeight="true" outlineLevel="0" collapsed="false">
      <c r="A55" s="6" t="s">
        <v>174</v>
      </c>
      <c r="B55" s="13" t="s">
        <v>175</v>
      </c>
      <c r="C55" s="6" t="s">
        <v>176</v>
      </c>
      <c r="D55" s="6" t="s">
        <v>37</v>
      </c>
      <c r="E55" s="6" t="s">
        <v>177</v>
      </c>
      <c r="F55" s="6" t="s">
        <v>178</v>
      </c>
      <c r="G55" s="6" t="s">
        <v>179</v>
      </c>
    </row>
    <row r="56" customFormat="false" ht="15" hidden="false" customHeight="true" outlineLevel="0" collapsed="false">
      <c r="A56" s="6" t="s">
        <v>180</v>
      </c>
      <c r="B56" s="13" t="s">
        <v>175</v>
      </c>
      <c r="C56" s="6" t="s">
        <v>181</v>
      </c>
      <c r="D56" s="6" t="s">
        <v>49</v>
      </c>
      <c r="E56" s="6" t="s">
        <v>50</v>
      </c>
      <c r="F56" s="6" t="s">
        <v>178</v>
      </c>
      <c r="G56" s="6"/>
    </row>
    <row r="57" customFormat="false" ht="15" hidden="false" customHeight="true" outlineLevel="0" collapsed="false">
      <c r="A57" s="6" t="s">
        <v>182</v>
      </c>
      <c r="B57" s="13" t="s">
        <v>175</v>
      </c>
      <c r="C57" s="6" t="s">
        <v>183</v>
      </c>
      <c r="D57" s="6" t="s">
        <v>49</v>
      </c>
      <c r="E57" s="6" t="s">
        <v>50</v>
      </c>
      <c r="F57" s="6" t="s">
        <v>178</v>
      </c>
      <c r="G57" s="6"/>
    </row>
    <row r="58" customFormat="false" ht="15" hidden="false" customHeight="true" outlineLevel="0" collapsed="false">
      <c r="A58" s="6" t="s">
        <v>184</v>
      </c>
      <c r="B58" s="13" t="s">
        <v>175</v>
      </c>
      <c r="C58" s="6" t="s">
        <v>185</v>
      </c>
      <c r="D58" s="6" t="s">
        <v>37</v>
      </c>
      <c r="E58" s="6" t="s">
        <v>186</v>
      </c>
      <c r="F58" s="6" t="s">
        <v>178</v>
      </c>
      <c r="G58" s="6"/>
    </row>
    <row r="59" customFormat="false" ht="15" hidden="false" customHeight="true" outlineLevel="0" collapsed="false">
      <c r="A59" s="6" t="s">
        <v>187</v>
      </c>
      <c r="B59" s="13" t="s">
        <v>175</v>
      </c>
      <c r="C59" s="6" t="s">
        <v>188</v>
      </c>
      <c r="D59" s="6" t="s">
        <v>49</v>
      </c>
      <c r="E59" s="6" t="s">
        <v>50</v>
      </c>
      <c r="F59" s="6" t="s">
        <v>178</v>
      </c>
      <c r="G59" s="6"/>
    </row>
    <row r="60" customFormat="false" ht="15" hidden="false" customHeight="true" outlineLevel="0" collapsed="false">
      <c r="A60" s="6" t="s">
        <v>189</v>
      </c>
      <c r="B60" s="13" t="s">
        <v>175</v>
      </c>
      <c r="C60" s="6" t="s">
        <v>190</v>
      </c>
      <c r="D60" s="6" t="s">
        <v>49</v>
      </c>
      <c r="E60" s="6" t="s">
        <v>50</v>
      </c>
      <c r="F60" s="6" t="s">
        <v>178</v>
      </c>
      <c r="G60" s="6"/>
    </row>
    <row r="61" customFormat="false" ht="15" hidden="false" customHeight="true" outlineLevel="0" collapsed="false">
      <c r="A61" s="6" t="s">
        <v>191</v>
      </c>
      <c r="B61" s="13" t="s">
        <v>175</v>
      </c>
      <c r="C61" s="6" t="s">
        <v>192</v>
      </c>
      <c r="D61" s="6" t="s">
        <v>37</v>
      </c>
      <c r="E61" s="6" t="s">
        <v>193</v>
      </c>
      <c r="F61" s="6" t="s">
        <v>178</v>
      </c>
      <c r="G61" s="6"/>
    </row>
    <row r="62" customFormat="false" ht="15" hidden="false" customHeight="true" outlineLevel="0" collapsed="false">
      <c r="A62" s="6" t="s">
        <v>194</v>
      </c>
      <c r="B62" s="13" t="s">
        <v>175</v>
      </c>
      <c r="C62" s="6" t="s">
        <v>195</v>
      </c>
      <c r="D62" s="6" t="s">
        <v>49</v>
      </c>
      <c r="E62" s="6" t="s">
        <v>50</v>
      </c>
      <c r="F62" s="6" t="s">
        <v>178</v>
      </c>
      <c r="G62" s="6" t="s">
        <v>196</v>
      </c>
    </row>
    <row r="63" customFormat="false" ht="15" hidden="false" customHeight="true" outlineLevel="0" collapsed="false">
      <c r="A63" s="6" t="s">
        <v>197</v>
      </c>
      <c r="B63" s="14" t="s">
        <v>198</v>
      </c>
      <c r="C63" s="6" t="s">
        <v>199</v>
      </c>
      <c r="D63" s="6" t="s">
        <v>37</v>
      </c>
      <c r="E63" s="6" t="s">
        <v>200</v>
      </c>
      <c r="F63" s="6" t="s">
        <v>91</v>
      </c>
      <c r="G63" s="6" t="s">
        <v>201</v>
      </c>
    </row>
    <row r="64" customFormat="false" ht="15" hidden="false" customHeight="true" outlineLevel="0" collapsed="false">
      <c r="A64" s="6" t="s">
        <v>202</v>
      </c>
      <c r="B64" s="14" t="s">
        <v>198</v>
      </c>
      <c r="C64" s="6" t="s">
        <v>203</v>
      </c>
      <c r="D64" s="6" t="s">
        <v>27</v>
      </c>
      <c r="E64" s="6" t="s">
        <v>156</v>
      </c>
      <c r="F64" s="6" t="s">
        <v>91</v>
      </c>
      <c r="G64" s="6" t="s">
        <v>157</v>
      </c>
    </row>
    <row r="65" customFormat="false" ht="15" hidden="false" customHeight="true" outlineLevel="0" collapsed="false">
      <c r="A65" s="6" t="s">
        <v>204</v>
      </c>
      <c r="B65" s="14" t="s">
        <v>198</v>
      </c>
      <c r="C65" s="6" t="s">
        <v>205</v>
      </c>
      <c r="D65" s="6" t="s">
        <v>27</v>
      </c>
      <c r="E65" s="6" t="s">
        <v>28</v>
      </c>
      <c r="F65" s="6" t="s">
        <v>29</v>
      </c>
      <c r="G65" s="6" t="s">
        <v>206</v>
      </c>
    </row>
  </sheetData>
  <autoFilter ref="A1:G65"/>
  <dataValidations count="1">
    <dataValidation allowBlank="false" error="Choose Slider, Radio, or Checkbox" errorStyle="stop" operator="between" showDropDown="false" showErrorMessage="false" showInputMessage="false" sqref="D2:D65" type="list">
      <formula1>"Slider,Radio,Checkbox"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4" width="32"/>
    <col collapsed="false" customWidth="true" hidden="false" outlineLevel="0" max="5" min="2" style="4" width="12"/>
  </cols>
  <sheetData>
    <row r="1" customFormat="false" ht="17.25" hidden="false" customHeight="true" outlineLevel="0" collapsed="false">
      <c r="A1" s="15" t="s">
        <v>207</v>
      </c>
    </row>
    <row r="3" customFormat="false" ht="15" hidden="false" customHeight="true" outlineLevel="0" collapsed="false">
      <c r="A3" s="16" t="s">
        <v>208</v>
      </c>
    </row>
    <row r="4" customFormat="false" ht="15" hidden="false" customHeight="true" outlineLevel="0" collapsed="false">
      <c r="A4" s="17" t="s">
        <v>20</v>
      </c>
      <c r="B4" s="17" t="s">
        <v>209</v>
      </c>
    </row>
    <row r="5" customFormat="false" ht="15" hidden="false" customHeight="true" outlineLevel="0" collapsed="false">
      <c r="A5" s="18" t="s">
        <v>27</v>
      </c>
      <c r="B5" s="18" t="n">
        <f aca="false">COUNTIF('ADHD Symptoms'!$D$2:$D$65,A5)</f>
        <v>35</v>
      </c>
    </row>
    <row r="6" customFormat="false" ht="15" hidden="false" customHeight="true" outlineLevel="0" collapsed="false">
      <c r="A6" s="18" t="s">
        <v>37</v>
      </c>
      <c r="B6" s="18" t="n">
        <f aca="false">COUNTIF('ADHD Symptoms'!$D$2:$D$65,A6)</f>
        <v>14</v>
      </c>
    </row>
    <row r="7" customFormat="false" ht="15" hidden="false" customHeight="true" outlineLevel="0" collapsed="false">
      <c r="A7" s="18" t="s">
        <v>49</v>
      </c>
      <c r="B7" s="18" t="n">
        <f aca="false">COUNTIF('ADHD Symptoms'!$D$2:$D$65,A7)</f>
        <v>15</v>
      </c>
    </row>
    <row r="8" customFormat="false" ht="15" hidden="false" customHeight="true" outlineLevel="0" collapsed="false">
      <c r="A8" s="19" t="s">
        <v>210</v>
      </c>
      <c r="B8" s="19" t="n">
        <f aca="false">SUM(B5:B7)</f>
        <v>64</v>
      </c>
    </row>
    <row r="10" customFormat="false" ht="15" hidden="false" customHeight="true" outlineLevel="0" collapsed="false">
      <c r="A10" s="16" t="s">
        <v>211</v>
      </c>
    </row>
    <row r="11" customFormat="false" ht="15" hidden="false" customHeight="true" outlineLevel="0" collapsed="false">
      <c r="A11" s="17" t="s">
        <v>18</v>
      </c>
      <c r="B11" s="17" t="s">
        <v>210</v>
      </c>
      <c r="C11" s="17" t="s">
        <v>27</v>
      </c>
      <c r="D11" s="17" t="s">
        <v>37</v>
      </c>
      <c r="E11" s="17" t="s">
        <v>49</v>
      </c>
    </row>
    <row r="12" customFormat="false" ht="15" hidden="false" customHeight="true" outlineLevel="0" collapsed="false">
      <c r="A12" s="20" t="s">
        <v>25</v>
      </c>
      <c r="B12" s="18" t="n">
        <f aca="false">COUNTIF('ADHD Symptoms'!$B$2:$B$65,A12)</f>
        <v>11</v>
      </c>
      <c r="C12" s="18" t="n">
        <f aca="false">COUNTIFS('ADHD Symptoms'!$B$2:$B$65,$A12,'ADHD Symptoms'!$D$2:$D$65,C$11)</f>
        <v>6</v>
      </c>
      <c r="D12" s="18" t="n">
        <f aca="false">COUNTIFS('ADHD Symptoms'!$B$2:$B$65,$A12,'ADHD Symptoms'!$D$2:$D$65,D$11)</f>
        <v>3</v>
      </c>
      <c r="E12" s="18" t="n">
        <f aca="false">COUNTIFS('ADHD Symptoms'!$B$2:$B$65,$A12,'ADHD Symptoms'!$D$2:$D$65,E$11)</f>
        <v>2</v>
      </c>
    </row>
    <row r="13" customFormat="false" ht="15" hidden="false" customHeight="true" outlineLevel="0" collapsed="false">
      <c r="A13" s="21" t="s">
        <v>63</v>
      </c>
      <c r="B13" s="18" t="n">
        <f aca="false">COUNTIF('ADHD Symptoms'!$B$2:$B$65,A13)</f>
        <v>10</v>
      </c>
      <c r="C13" s="18" t="n">
        <f aca="false">COUNTIFS('ADHD Symptoms'!$B$2:$B$65,$A13,'ADHD Symptoms'!$D$2:$D$65,C$11)</f>
        <v>6</v>
      </c>
      <c r="D13" s="18" t="n">
        <f aca="false">COUNTIFS('ADHD Symptoms'!$B$2:$B$65,$A13,'ADHD Symptoms'!$D$2:$D$65,D$11)</f>
        <v>3</v>
      </c>
      <c r="E13" s="18" t="n">
        <f aca="false">COUNTIFS('ADHD Symptoms'!$B$2:$B$65,$A13,'ADHD Symptoms'!$D$2:$D$65,E$11)</f>
        <v>1</v>
      </c>
    </row>
    <row r="14" customFormat="false" ht="15" hidden="false" customHeight="true" outlineLevel="0" collapsed="false">
      <c r="A14" s="22" t="s">
        <v>94</v>
      </c>
      <c r="B14" s="18" t="n">
        <f aca="false">COUNTIF('ADHD Symptoms'!$B$2:$B$65,A14)</f>
        <v>7</v>
      </c>
      <c r="C14" s="18" t="n">
        <f aca="false">COUNTIFS('ADHD Symptoms'!$B$2:$B$65,$A14,'ADHD Symptoms'!$D$2:$D$65,C$11)</f>
        <v>5</v>
      </c>
      <c r="D14" s="18" t="n">
        <f aca="false">COUNTIFS('ADHD Symptoms'!$B$2:$B$65,$A14,'ADHD Symptoms'!$D$2:$D$65,D$11)</f>
        <v>1</v>
      </c>
      <c r="E14" s="18" t="n">
        <f aca="false">COUNTIFS('ADHD Symptoms'!$B$2:$B$65,$A14,'ADHD Symptoms'!$D$2:$D$65,E$11)</f>
        <v>1</v>
      </c>
    </row>
    <row r="15" customFormat="false" ht="15" hidden="false" customHeight="true" outlineLevel="0" collapsed="false">
      <c r="A15" s="23" t="s">
        <v>111</v>
      </c>
      <c r="B15" s="18" t="n">
        <f aca="false">COUNTIF('ADHD Symptoms'!$B$2:$B$65,A15)</f>
        <v>7</v>
      </c>
      <c r="C15" s="18" t="n">
        <f aca="false">COUNTIFS('ADHD Symptoms'!$B$2:$B$65,$A15,'ADHD Symptoms'!$D$2:$D$65,C$11)</f>
        <v>3</v>
      </c>
      <c r="D15" s="18" t="n">
        <f aca="false">COUNTIFS('ADHD Symptoms'!$B$2:$B$65,$A15,'ADHD Symptoms'!$D$2:$D$65,D$11)</f>
        <v>1</v>
      </c>
      <c r="E15" s="18" t="n">
        <f aca="false">COUNTIFS('ADHD Symptoms'!$B$2:$B$65,$A15,'ADHD Symptoms'!$D$2:$D$65,E$11)</f>
        <v>3</v>
      </c>
    </row>
    <row r="16" customFormat="false" ht="15" hidden="false" customHeight="true" outlineLevel="0" collapsed="false">
      <c r="A16" s="24" t="s">
        <v>130</v>
      </c>
      <c r="B16" s="18" t="n">
        <f aca="false">COUNTIF('ADHD Symptoms'!$B$2:$B$65,A16)</f>
        <v>10</v>
      </c>
      <c r="C16" s="18" t="n">
        <f aca="false">COUNTIFS('ADHD Symptoms'!$B$2:$B$65,$A16,'ADHD Symptoms'!$D$2:$D$65,C$11)</f>
        <v>8</v>
      </c>
      <c r="D16" s="18" t="n">
        <f aca="false">COUNTIFS('ADHD Symptoms'!$B$2:$B$65,$A16,'ADHD Symptoms'!$D$2:$D$65,D$11)</f>
        <v>1</v>
      </c>
      <c r="E16" s="18" t="n">
        <f aca="false">COUNTIFS('ADHD Symptoms'!$B$2:$B$65,$A16,'ADHD Symptoms'!$D$2:$D$65,E$11)</f>
        <v>1</v>
      </c>
    </row>
    <row r="17" customFormat="false" ht="15" hidden="false" customHeight="true" outlineLevel="0" collapsed="false">
      <c r="A17" s="25" t="s">
        <v>154</v>
      </c>
      <c r="B17" s="18" t="n">
        <f aca="false">COUNTIF('ADHD Symptoms'!$B$2:$B$65,A17)</f>
        <v>8</v>
      </c>
      <c r="C17" s="18" t="n">
        <f aca="false">COUNTIFS('ADHD Symptoms'!$B$2:$B$65,$A17,'ADHD Symptoms'!$D$2:$D$65,C$11)</f>
        <v>5</v>
      </c>
      <c r="D17" s="18" t="n">
        <f aca="false">COUNTIFS('ADHD Symptoms'!$B$2:$B$65,$A17,'ADHD Symptoms'!$D$2:$D$65,D$11)</f>
        <v>1</v>
      </c>
      <c r="E17" s="18" t="n">
        <f aca="false">COUNTIFS('ADHD Symptoms'!$B$2:$B$65,$A17,'ADHD Symptoms'!$D$2:$D$65,E$11)</f>
        <v>2</v>
      </c>
    </row>
    <row r="18" customFormat="false" ht="15" hidden="false" customHeight="true" outlineLevel="0" collapsed="false">
      <c r="A18" s="26" t="s">
        <v>175</v>
      </c>
      <c r="B18" s="18" t="n">
        <f aca="false">COUNTIF('ADHD Symptoms'!$B$2:$B$65,A18)</f>
        <v>8</v>
      </c>
      <c r="C18" s="18" t="n">
        <f aca="false">COUNTIFS('ADHD Symptoms'!$B$2:$B$65,$A18,'ADHD Symptoms'!$D$2:$D$65,C$11)</f>
        <v>0</v>
      </c>
      <c r="D18" s="18" t="n">
        <f aca="false">COUNTIFS('ADHD Symptoms'!$B$2:$B$65,$A18,'ADHD Symptoms'!$D$2:$D$65,D$11)</f>
        <v>3</v>
      </c>
      <c r="E18" s="18" t="n">
        <f aca="false">COUNTIFS('ADHD Symptoms'!$B$2:$B$65,$A18,'ADHD Symptoms'!$D$2:$D$65,E$11)</f>
        <v>5</v>
      </c>
    </row>
    <row r="19" customFormat="false" ht="15" hidden="false" customHeight="true" outlineLevel="0" collapsed="false">
      <c r="A19" s="27" t="s">
        <v>198</v>
      </c>
      <c r="B19" s="18" t="n">
        <f aca="false">COUNTIF('ADHD Symptoms'!$B$2:$B$65,A19)</f>
        <v>3</v>
      </c>
      <c r="C19" s="18" t="n">
        <f aca="false">COUNTIFS('ADHD Symptoms'!$B$2:$B$65,$A19,'ADHD Symptoms'!$D$2:$D$65,C$11)</f>
        <v>2</v>
      </c>
      <c r="D19" s="18" t="n">
        <f aca="false">COUNTIFS('ADHD Symptoms'!$B$2:$B$65,$A19,'ADHD Symptoms'!$D$2:$D$65,D$11)</f>
        <v>1</v>
      </c>
      <c r="E19" s="18" t="n">
        <f aca="false">COUNTIFS('ADHD Symptoms'!$B$2:$B$65,$A19,'ADHD Symptoms'!$D$2:$D$65,E$11)</f>
        <v>0</v>
      </c>
    </row>
    <row r="20" customFormat="false" ht="15" hidden="false" customHeight="true" outlineLevel="0" collapsed="false">
      <c r="A20" s="19" t="s">
        <v>210</v>
      </c>
      <c r="B20" s="19" t="n">
        <f aca="false">SUM(B12:B19)</f>
        <v>64</v>
      </c>
      <c r="C20" s="19" t="n">
        <f aca="false">SUM(C12:C19)</f>
        <v>35</v>
      </c>
      <c r="D20" s="19" t="n">
        <f aca="false">SUM(D12:D19)</f>
        <v>14</v>
      </c>
      <c r="E20" s="19" t="n">
        <f aca="false">SUM(E12:E19)</f>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52"/>
    <col collapsed="false" customWidth="true" hidden="false" outlineLevel="0" max="4" min="4" style="0" width="13"/>
    <col collapsed="false" customWidth="true" hidden="false" outlineLevel="0" max="5" min="5" style="0" width="48"/>
    <col collapsed="false" customWidth="true" hidden="false" outlineLevel="0" max="6" min="6" style="0" width="30"/>
    <col collapsed="false" customWidth="true" hidden="false" outlineLevel="0" max="7" min="7" style="0" width="62"/>
  </cols>
  <sheetData>
    <row r="1" customFormat="false" ht="30" hidden="false" customHeight="true" outlineLevel="0" collapsed="false">
      <c r="A1" s="5" t="s">
        <v>17</v>
      </c>
      <c r="B1" s="5" t="s">
        <v>18</v>
      </c>
      <c r="C1" s="5" t="s">
        <v>19</v>
      </c>
      <c r="D1" s="5" t="s">
        <v>20</v>
      </c>
      <c r="E1" s="5" t="s">
        <v>21</v>
      </c>
      <c r="F1" s="5" t="s">
        <v>22</v>
      </c>
      <c r="G1" s="5" t="s">
        <v>23</v>
      </c>
    </row>
    <row r="2" customFormat="false" ht="23.85" hidden="false" customHeight="false" outlineLevel="0" collapsed="false">
      <c r="A2" s="6" t="s">
        <v>212</v>
      </c>
      <c r="B2" s="9" t="s">
        <v>213</v>
      </c>
      <c r="C2" s="6" t="s">
        <v>214</v>
      </c>
      <c r="D2" s="6" t="s">
        <v>27</v>
      </c>
      <c r="E2" s="6" t="s">
        <v>28</v>
      </c>
      <c r="F2" s="6" t="s">
        <v>215</v>
      </c>
      <c r="G2" s="6" t="s">
        <v>216</v>
      </c>
    </row>
    <row r="3" customFormat="false" ht="23.85" hidden="false" customHeight="false" outlineLevel="0" collapsed="false">
      <c r="A3" s="6" t="s">
        <v>217</v>
      </c>
      <c r="B3" s="9" t="s">
        <v>213</v>
      </c>
      <c r="C3" s="6" t="s">
        <v>218</v>
      </c>
      <c r="D3" s="6" t="s">
        <v>27</v>
      </c>
      <c r="E3" s="6" t="s">
        <v>28</v>
      </c>
      <c r="F3" s="6" t="s">
        <v>215</v>
      </c>
      <c r="G3" s="6" t="s">
        <v>219</v>
      </c>
    </row>
    <row r="4" customFormat="false" ht="23.85" hidden="false" customHeight="false" outlineLevel="0" collapsed="false">
      <c r="A4" s="6" t="s">
        <v>220</v>
      </c>
      <c r="B4" s="9" t="s">
        <v>213</v>
      </c>
      <c r="C4" s="6" t="s">
        <v>221</v>
      </c>
      <c r="D4" s="6" t="s">
        <v>27</v>
      </c>
      <c r="E4" s="6" t="s">
        <v>28</v>
      </c>
      <c r="F4" s="6" t="s">
        <v>215</v>
      </c>
      <c r="G4" s="6" t="s">
        <v>222</v>
      </c>
    </row>
    <row r="5" customFormat="false" ht="23.85" hidden="false" customHeight="false" outlineLevel="0" collapsed="false">
      <c r="A5" s="6" t="s">
        <v>223</v>
      </c>
      <c r="B5" s="9" t="s">
        <v>213</v>
      </c>
      <c r="C5" s="6" t="s">
        <v>224</v>
      </c>
      <c r="D5" s="6" t="s">
        <v>27</v>
      </c>
      <c r="E5" s="6" t="s">
        <v>28</v>
      </c>
      <c r="F5" s="6" t="s">
        <v>215</v>
      </c>
      <c r="G5" s="6" t="s">
        <v>225</v>
      </c>
    </row>
    <row r="6" customFormat="false" ht="23.85" hidden="false" customHeight="false" outlineLevel="0" collapsed="false">
      <c r="A6" s="6" t="s">
        <v>226</v>
      </c>
      <c r="B6" s="9" t="s">
        <v>213</v>
      </c>
      <c r="C6" s="6" t="s">
        <v>227</v>
      </c>
      <c r="D6" s="6" t="s">
        <v>49</v>
      </c>
      <c r="E6" s="6" t="s">
        <v>50</v>
      </c>
      <c r="F6" s="6" t="s">
        <v>215</v>
      </c>
      <c r="G6" s="6" t="s">
        <v>228</v>
      </c>
    </row>
    <row r="7" customFormat="false" ht="23.85" hidden="false" customHeight="false" outlineLevel="0" collapsed="false">
      <c r="A7" s="6" t="s">
        <v>229</v>
      </c>
      <c r="B7" s="9" t="s">
        <v>213</v>
      </c>
      <c r="C7" s="6" t="s">
        <v>230</v>
      </c>
      <c r="D7" s="6" t="s">
        <v>27</v>
      </c>
      <c r="E7" s="6" t="s">
        <v>28</v>
      </c>
      <c r="F7" s="6" t="s">
        <v>215</v>
      </c>
      <c r="G7" s="6" t="s">
        <v>231</v>
      </c>
    </row>
    <row r="8" customFormat="false" ht="23.85" hidden="false" customHeight="false" outlineLevel="0" collapsed="false">
      <c r="A8" s="6" t="s">
        <v>232</v>
      </c>
      <c r="B8" s="9" t="s">
        <v>213</v>
      </c>
      <c r="C8" s="6" t="s">
        <v>233</v>
      </c>
      <c r="D8" s="6" t="s">
        <v>27</v>
      </c>
      <c r="E8" s="6" t="s">
        <v>28</v>
      </c>
      <c r="F8" s="6" t="s">
        <v>215</v>
      </c>
      <c r="G8" s="6" t="s">
        <v>234</v>
      </c>
    </row>
    <row r="9" customFormat="false" ht="23.85" hidden="false" customHeight="false" outlineLevel="0" collapsed="false">
      <c r="A9" s="6" t="s">
        <v>235</v>
      </c>
      <c r="B9" s="7" t="s">
        <v>236</v>
      </c>
      <c r="C9" s="6" t="s">
        <v>237</v>
      </c>
      <c r="D9" s="6" t="s">
        <v>27</v>
      </c>
      <c r="E9" s="6" t="s">
        <v>28</v>
      </c>
      <c r="F9" s="6" t="s">
        <v>215</v>
      </c>
      <c r="G9" s="6" t="s">
        <v>238</v>
      </c>
    </row>
    <row r="10" customFormat="false" ht="23.85" hidden="false" customHeight="false" outlineLevel="0" collapsed="false">
      <c r="A10" s="6" t="s">
        <v>239</v>
      </c>
      <c r="B10" s="7" t="s">
        <v>236</v>
      </c>
      <c r="C10" s="6" t="s">
        <v>240</v>
      </c>
      <c r="D10" s="6" t="s">
        <v>27</v>
      </c>
      <c r="E10" s="6" t="s">
        <v>28</v>
      </c>
      <c r="F10" s="6" t="s">
        <v>215</v>
      </c>
      <c r="G10" s="6" t="s">
        <v>241</v>
      </c>
    </row>
    <row r="11" customFormat="false" ht="23.85" hidden="false" customHeight="false" outlineLevel="0" collapsed="false">
      <c r="A11" s="6" t="s">
        <v>242</v>
      </c>
      <c r="B11" s="7" t="s">
        <v>236</v>
      </c>
      <c r="C11" s="6" t="s">
        <v>243</v>
      </c>
      <c r="D11" s="6" t="s">
        <v>37</v>
      </c>
      <c r="E11" s="6" t="s">
        <v>38</v>
      </c>
      <c r="F11" s="6" t="s">
        <v>215</v>
      </c>
      <c r="G11" s="6" t="s">
        <v>244</v>
      </c>
    </row>
    <row r="12" customFormat="false" ht="23.85" hidden="false" customHeight="false" outlineLevel="0" collapsed="false">
      <c r="A12" s="6" t="s">
        <v>245</v>
      </c>
      <c r="B12" s="7" t="s">
        <v>236</v>
      </c>
      <c r="C12" s="6" t="s">
        <v>246</v>
      </c>
      <c r="D12" s="6" t="s">
        <v>27</v>
      </c>
      <c r="E12" s="6" t="s">
        <v>28</v>
      </c>
      <c r="F12" s="6" t="s">
        <v>215</v>
      </c>
      <c r="G12" s="6" t="s">
        <v>247</v>
      </c>
    </row>
    <row r="13" customFormat="false" ht="15" hidden="false" customHeight="false" outlineLevel="0" collapsed="false">
      <c r="A13" s="6" t="s">
        <v>248</v>
      </c>
      <c r="B13" s="7" t="s">
        <v>236</v>
      </c>
      <c r="C13" s="6" t="s">
        <v>249</v>
      </c>
      <c r="D13" s="6" t="s">
        <v>27</v>
      </c>
      <c r="E13" s="6" t="s">
        <v>28</v>
      </c>
      <c r="F13" s="6" t="s">
        <v>29</v>
      </c>
      <c r="G13" s="6" t="s">
        <v>250</v>
      </c>
    </row>
    <row r="14" customFormat="false" ht="23.85" hidden="false" customHeight="false" outlineLevel="0" collapsed="false">
      <c r="A14" s="6" t="s">
        <v>251</v>
      </c>
      <c r="B14" s="7" t="s">
        <v>236</v>
      </c>
      <c r="C14" s="6" t="s">
        <v>252</v>
      </c>
      <c r="D14" s="6" t="s">
        <v>27</v>
      </c>
      <c r="E14" s="6" t="s">
        <v>28</v>
      </c>
      <c r="F14" s="6" t="s">
        <v>253</v>
      </c>
      <c r="G14" s="6" t="s">
        <v>254</v>
      </c>
    </row>
    <row r="15" customFormat="false" ht="23.85" hidden="false" customHeight="false" outlineLevel="0" collapsed="false">
      <c r="A15" s="6" t="s">
        <v>255</v>
      </c>
      <c r="B15" s="7" t="s">
        <v>236</v>
      </c>
      <c r="C15" s="6" t="s">
        <v>256</v>
      </c>
      <c r="D15" s="6" t="s">
        <v>27</v>
      </c>
      <c r="E15" s="6" t="s">
        <v>28</v>
      </c>
      <c r="F15" s="6" t="s">
        <v>253</v>
      </c>
      <c r="G15" s="6" t="s">
        <v>257</v>
      </c>
    </row>
    <row r="16" customFormat="false" ht="23.85" hidden="false" customHeight="false" outlineLevel="0" collapsed="false">
      <c r="A16" s="6" t="s">
        <v>258</v>
      </c>
      <c r="B16" s="7" t="s">
        <v>236</v>
      </c>
      <c r="C16" s="6" t="s">
        <v>259</v>
      </c>
      <c r="D16" s="6" t="s">
        <v>49</v>
      </c>
      <c r="E16" s="6" t="s">
        <v>50</v>
      </c>
      <c r="F16" s="6" t="s">
        <v>215</v>
      </c>
      <c r="G16" s="6" t="s">
        <v>260</v>
      </c>
    </row>
    <row r="17" customFormat="false" ht="23.85" hidden="false" customHeight="false" outlineLevel="0" collapsed="false">
      <c r="A17" s="6" t="s">
        <v>261</v>
      </c>
      <c r="B17" s="12" t="s">
        <v>262</v>
      </c>
      <c r="C17" s="6" t="s">
        <v>263</v>
      </c>
      <c r="D17" s="6" t="s">
        <v>37</v>
      </c>
      <c r="E17" s="6" t="s">
        <v>264</v>
      </c>
      <c r="F17" s="6" t="s">
        <v>178</v>
      </c>
      <c r="G17" s="6" t="s">
        <v>265</v>
      </c>
    </row>
    <row r="18" customFormat="false" ht="23.85" hidden="false" customHeight="false" outlineLevel="0" collapsed="false">
      <c r="A18" s="6" t="s">
        <v>266</v>
      </c>
      <c r="B18" s="12" t="s">
        <v>262</v>
      </c>
      <c r="C18" s="6" t="s">
        <v>267</v>
      </c>
      <c r="D18" s="6" t="s">
        <v>49</v>
      </c>
      <c r="E18" s="6" t="s">
        <v>50</v>
      </c>
      <c r="F18" s="6" t="s">
        <v>215</v>
      </c>
      <c r="G18" s="6" t="s">
        <v>268</v>
      </c>
    </row>
    <row r="19" customFormat="false" ht="15" hidden="false" customHeight="false" outlineLevel="0" collapsed="false">
      <c r="A19" s="6" t="s">
        <v>269</v>
      </c>
      <c r="B19" s="12" t="s">
        <v>262</v>
      </c>
      <c r="C19" s="6" t="s">
        <v>270</v>
      </c>
      <c r="D19" s="6" t="s">
        <v>49</v>
      </c>
      <c r="E19" s="6" t="s">
        <v>50</v>
      </c>
      <c r="F19" s="6" t="s">
        <v>29</v>
      </c>
      <c r="G19" s="6" t="s">
        <v>271</v>
      </c>
    </row>
    <row r="20" customFormat="false" ht="23.85" hidden="false" customHeight="false" outlineLevel="0" collapsed="false">
      <c r="A20" s="6" t="s">
        <v>272</v>
      </c>
      <c r="B20" s="12" t="s">
        <v>262</v>
      </c>
      <c r="C20" s="6" t="s">
        <v>273</v>
      </c>
      <c r="D20" s="6" t="s">
        <v>49</v>
      </c>
      <c r="E20" s="6" t="s">
        <v>50</v>
      </c>
      <c r="F20" s="6" t="s">
        <v>253</v>
      </c>
      <c r="G20" s="6" t="s">
        <v>274</v>
      </c>
    </row>
    <row r="21" customFormat="false" ht="15" hidden="false" customHeight="false" outlineLevel="0" collapsed="false">
      <c r="A21" s="6" t="s">
        <v>275</v>
      </c>
      <c r="B21" s="12" t="s">
        <v>262</v>
      </c>
      <c r="C21" s="6" t="s">
        <v>161</v>
      </c>
      <c r="D21" s="6" t="s">
        <v>27</v>
      </c>
      <c r="E21" s="6" t="s">
        <v>162</v>
      </c>
      <c r="F21" s="6" t="s">
        <v>91</v>
      </c>
      <c r="G21" s="6" t="s">
        <v>157</v>
      </c>
    </row>
    <row r="22" customFormat="false" ht="15" hidden="false" customHeight="false" outlineLevel="0" collapsed="false">
      <c r="A22" s="6" t="s">
        <v>276</v>
      </c>
      <c r="B22" s="10" t="s">
        <v>277</v>
      </c>
      <c r="C22" s="6" t="s">
        <v>278</v>
      </c>
      <c r="D22" s="6" t="s">
        <v>27</v>
      </c>
      <c r="E22" s="6" t="s">
        <v>28</v>
      </c>
      <c r="F22" s="6" t="s">
        <v>29</v>
      </c>
      <c r="G22" s="6"/>
    </row>
    <row r="23" customFormat="false" ht="23.85" hidden="false" customHeight="false" outlineLevel="0" collapsed="false">
      <c r="A23" s="6" t="s">
        <v>279</v>
      </c>
      <c r="B23" s="10" t="s">
        <v>277</v>
      </c>
      <c r="C23" s="6" t="s">
        <v>280</v>
      </c>
      <c r="D23" s="6" t="s">
        <v>49</v>
      </c>
      <c r="E23" s="6" t="s">
        <v>50</v>
      </c>
      <c r="F23" s="6" t="s">
        <v>215</v>
      </c>
      <c r="G23" s="6" t="s">
        <v>281</v>
      </c>
    </row>
    <row r="24" customFormat="false" ht="23.85" hidden="false" customHeight="false" outlineLevel="0" collapsed="false">
      <c r="A24" s="6" t="s">
        <v>282</v>
      </c>
      <c r="B24" s="10" t="s">
        <v>277</v>
      </c>
      <c r="C24" s="6" t="s">
        <v>283</v>
      </c>
      <c r="D24" s="6" t="s">
        <v>49</v>
      </c>
      <c r="E24" s="6" t="s">
        <v>50</v>
      </c>
      <c r="F24" s="6" t="s">
        <v>215</v>
      </c>
      <c r="G24" s="6" t="s">
        <v>284</v>
      </c>
    </row>
    <row r="25" customFormat="false" ht="23.85" hidden="false" customHeight="false" outlineLevel="0" collapsed="false">
      <c r="A25" s="6" t="s">
        <v>285</v>
      </c>
      <c r="B25" s="10" t="s">
        <v>277</v>
      </c>
      <c r="C25" s="6" t="s">
        <v>286</v>
      </c>
      <c r="D25" s="6" t="s">
        <v>27</v>
      </c>
      <c r="E25" s="6" t="s">
        <v>28</v>
      </c>
      <c r="F25" s="6" t="s">
        <v>215</v>
      </c>
      <c r="G25" s="6" t="s">
        <v>287</v>
      </c>
    </row>
    <row r="26" customFormat="false" ht="23.85" hidden="false" customHeight="false" outlineLevel="0" collapsed="false">
      <c r="A26" s="6" t="s">
        <v>288</v>
      </c>
      <c r="B26" s="28" t="s">
        <v>289</v>
      </c>
      <c r="C26" s="6" t="s">
        <v>290</v>
      </c>
      <c r="D26" s="6" t="s">
        <v>27</v>
      </c>
      <c r="E26" s="6" t="s">
        <v>28</v>
      </c>
      <c r="F26" s="6" t="s">
        <v>253</v>
      </c>
      <c r="G26" s="6" t="s">
        <v>291</v>
      </c>
    </row>
    <row r="27" customFormat="false" ht="23.85" hidden="false" customHeight="false" outlineLevel="0" collapsed="false">
      <c r="A27" s="6" t="s">
        <v>292</v>
      </c>
      <c r="B27" s="28" t="s">
        <v>289</v>
      </c>
      <c r="C27" s="6" t="s">
        <v>293</v>
      </c>
      <c r="D27" s="6" t="s">
        <v>27</v>
      </c>
      <c r="E27" s="6" t="s">
        <v>28</v>
      </c>
      <c r="F27" s="6" t="s">
        <v>253</v>
      </c>
      <c r="G27" s="6" t="s">
        <v>294</v>
      </c>
    </row>
    <row r="28" customFormat="false" ht="23.85" hidden="false" customHeight="false" outlineLevel="0" collapsed="false">
      <c r="A28" s="6" t="s">
        <v>295</v>
      </c>
      <c r="B28" s="28" t="s">
        <v>289</v>
      </c>
      <c r="C28" s="6" t="s">
        <v>296</v>
      </c>
      <c r="D28" s="6" t="s">
        <v>27</v>
      </c>
      <c r="E28" s="6" t="s">
        <v>28</v>
      </c>
      <c r="F28" s="6" t="s">
        <v>253</v>
      </c>
      <c r="G28" s="6"/>
    </row>
    <row r="29" customFormat="false" ht="23.85" hidden="false" customHeight="false" outlineLevel="0" collapsed="false">
      <c r="A29" s="6" t="s">
        <v>297</v>
      </c>
      <c r="B29" s="28" t="s">
        <v>289</v>
      </c>
      <c r="C29" s="6" t="s">
        <v>298</v>
      </c>
      <c r="D29" s="6" t="s">
        <v>27</v>
      </c>
      <c r="E29" s="6" t="s">
        <v>28</v>
      </c>
      <c r="F29" s="6" t="s">
        <v>253</v>
      </c>
      <c r="G29" s="6" t="s">
        <v>291</v>
      </c>
    </row>
    <row r="30" customFormat="false" ht="23.85" hidden="false" customHeight="false" outlineLevel="0" collapsed="false">
      <c r="A30" s="6" t="s">
        <v>299</v>
      </c>
      <c r="B30" s="28" t="s">
        <v>289</v>
      </c>
      <c r="C30" s="6" t="s">
        <v>300</v>
      </c>
      <c r="D30" s="6" t="s">
        <v>49</v>
      </c>
      <c r="E30" s="6" t="s">
        <v>50</v>
      </c>
      <c r="F30" s="6" t="s">
        <v>253</v>
      </c>
      <c r="G30" s="6"/>
    </row>
    <row r="31" customFormat="false" ht="23.85" hidden="false" customHeight="false" outlineLevel="0" collapsed="false">
      <c r="A31" s="6" t="s">
        <v>301</v>
      </c>
      <c r="B31" s="28" t="s">
        <v>289</v>
      </c>
      <c r="C31" s="6" t="s">
        <v>302</v>
      </c>
      <c r="D31" s="6" t="s">
        <v>27</v>
      </c>
      <c r="E31" s="6" t="s">
        <v>28</v>
      </c>
      <c r="F31" s="6" t="s">
        <v>253</v>
      </c>
      <c r="G31" s="6" t="s">
        <v>303</v>
      </c>
    </row>
    <row r="32" customFormat="false" ht="23.85" hidden="false" customHeight="false" outlineLevel="0" collapsed="false">
      <c r="A32" s="6" t="s">
        <v>304</v>
      </c>
      <c r="B32" s="28" t="s">
        <v>289</v>
      </c>
      <c r="C32" s="6" t="s">
        <v>305</v>
      </c>
      <c r="D32" s="6" t="s">
        <v>27</v>
      </c>
      <c r="E32" s="6" t="s">
        <v>28</v>
      </c>
      <c r="F32" s="6" t="s">
        <v>253</v>
      </c>
      <c r="G32" s="6"/>
    </row>
    <row r="33" customFormat="false" ht="23.85" hidden="false" customHeight="false" outlineLevel="0" collapsed="false">
      <c r="A33" s="6" t="s">
        <v>306</v>
      </c>
      <c r="B33" s="28" t="s">
        <v>289</v>
      </c>
      <c r="C33" s="6" t="s">
        <v>307</v>
      </c>
      <c r="D33" s="6" t="s">
        <v>27</v>
      </c>
      <c r="E33" s="6" t="s">
        <v>28</v>
      </c>
      <c r="F33" s="6" t="s">
        <v>253</v>
      </c>
      <c r="G33" s="6"/>
    </row>
    <row r="34" customFormat="false" ht="15" hidden="false" customHeight="false" outlineLevel="0" collapsed="false">
      <c r="A34" s="6" t="s">
        <v>308</v>
      </c>
      <c r="B34" s="11" t="s">
        <v>309</v>
      </c>
      <c r="C34" s="6" t="s">
        <v>145</v>
      </c>
      <c r="D34" s="6" t="s">
        <v>27</v>
      </c>
      <c r="E34" s="6" t="s">
        <v>28</v>
      </c>
      <c r="F34" s="6" t="s">
        <v>29</v>
      </c>
      <c r="G34" s="6" t="s">
        <v>310</v>
      </c>
    </row>
    <row r="35" customFormat="false" ht="15" hidden="false" customHeight="false" outlineLevel="0" collapsed="false">
      <c r="A35" s="6" t="s">
        <v>311</v>
      </c>
      <c r="B35" s="11" t="s">
        <v>309</v>
      </c>
      <c r="C35" s="6" t="s">
        <v>312</v>
      </c>
      <c r="D35" s="6" t="s">
        <v>27</v>
      </c>
      <c r="E35" s="6" t="s">
        <v>28</v>
      </c>
      <c r="F35" s="6" t="s">
        <v>29</v>
      </c>
      <c r="G35" s="6" t="s">
        <v>313</v>
      </c>
    </row>
    <row r="36" customFormat="false" ht="15" hidden="false" customHeight="false" outlineLevel="0" collapsed="false">
      <c r="A36" s="6" t="s">
        <v>314</v>
      </c>
      <c r="B36" s="11" t="s">
        <v>309</v>
      </c>
      <c r="C36" s="6" t="s">
        <v>315</v>
      </c>
      <c r="D36" s="6" t="s">
        <v>27</v>
      </c>
      <c r="E36" s="6" t="s">
        <v>28</v>
      </c>
      <c r="F36" s="6" t="s">
        <v>29</v>
      </c>
      <c r="G36" s="6" t="s">
        <v>316</v>
      </c>
    </row>
    <row r="37" customFormat="false" ht="23.85" hidden="false" customHeight="false" outlineLevel="0" collapsed="false">
      <c r="A37" s="6" t="s">
        <v>317</v>
      </c>
      <c r="B37" s="11" t="s">
        <v>309</v>
      </c>
      <c r="C37" s="6" t="s">
        <v>318</v>
      </c>
      <c r="D37" s="6" t="s">
        <v>37</v>
      </c>
      <c r="E37" s="6" t="s">
        <v>38</v>
      </c>
      <c r="F37" s="6" t="s">
        <v>29</v>
      </c>
      <c r="G37" s="6" t="s">
        <v>319</v>
      </c>
    </row>
    <row r="38" customFormat="false" ht="15" hidden="false" customHeight="false" outlineLevel="0" collapsed="false">
      <c r="A38" s="6" t="s">
        <v>320</v>
      </c>
      <c r="B38" s="11" t="s">
        <v>309</v>
      </c>
      <c r="C38" s="6" t="s">
        <v>321</v>
      </c>
      <c r="D38" s="6" t="s">
        <v>27</v>
      </c>
      <c r="E38" s="6" t="s">
        <v>28</v>
      </c>
      <c r="F38" s="6" t="s">
        <v>29</v>
      </c>
      <c r="G38" s="6" t="s">
        <v>322</v>
      </c>
    </row>
    <row r="39" customFormat="false" ht="15" hidden="false" customHeight="false" outlineLevel="0" collapsed="false">
      <c r="A39" s="6" t="s">
        <v>323</v>
      </c>
      <c r="B39" s="11" t="s">
        <v>309</v>
      </c>
      <c r="C39" s="6" t="s">
        <v>143</v>
      </c>
      <c r="D39" s="6" t="s">
        <v>49</v>
      </c>
      <c r="E39" s="6" t="s">
        <v>50</v>
      </c>
      <c r="F39" s="6" t="s">
        <v>29</v>
      </c>
      <c r="G39" s="6"/>
    </row>
    <row r="40" customFormat="false" ht="23.85" hidden="false" customHeight="false" outlineLevel="0" collapsed="false">
      <c r="A40" s="6" t="s">
        <v>324</v>
      </c>
      <c r="B40" s="29" t="s">
        <v>325</v>
      </c>
      <c r="C40" s="6" t="s">
        <v>326</v>
      </c>
      <c r="D40" s="6" t="s">
        <v>49</v>
      </c>
      <c r="E40" s="6" t="s">
        <v>50</v>
      </c>
      <c r="F40" s="6" t="s">
        <v>29</v>
      </c>
      <c r="G40" s="6" t="s">
        <v>327</v>
      </c>
    </row>
    <row r="41" customFormat="false" ht="23.85" hidden="false" customHeight="false" outlineLevel="0" collapsed="false">
      <c r="A41" s="6" t="s">
        <v>328</v>
      </c>
      <c r="B41" s="29" t="s">
        <v>325</v>
      </c>
      <c r="C41" s="6" t="s">
        <v>329</v>
      </c>
      <c r="D41" s="6" t="s">
        <v>49</v>
      </c>
      <c r="E41" s="6" t="s">
        <v>50</v>
      </c>
      <c r="F41" s="6" t="s">
        <v>29</v>
      </c>
      <c r="G41" s="6" t="s">
        <v>330</v>
      </c>
    </row>
    <row r="42" customFormat="false" ht="35.05" hidden="false" customHeight="false" outlineLevel="0" collapsed="false">
      <c r="A42" s="6" t="s">
        <v>331</v>
      </c>
      <c r="B42" s="14" t="s">
        <v>332</v>
      </c>
      <c r="C42" s="6" t="s">
        <v>333</v>
      </c>
      <c r="D42" s="6" t="s">
        <v>37</v>
      </c>
      <c r="E42" s="6" t="s">
        <v>334</v>
      </c>
      <c r="F42" s="6" t="s">
        <v>335</v>
      </c>
      <c r="G42" s="6" t="s">
        <v>336</v>
      </c>
    </row>
    <row r="43" customFormat="false" ht="15" hidden="false" customHeight="false" outlineLevel="0" collapsed="false">
      <c r="A43" s="6" t="s">
        <v>337</v>
      </c>
      <c r="B43" s="13" t="s">
        <v>338</v>
      </c>
      <c r="C43" s="6" t="s">
        <v>159</v>
      </c>
      <c r="D43" s="6" t="s">
        <v>27</v>
      </c>
      <c r="E43" s="6" t="s">
        <v>156</v>
      </c>
      <c r="F43" s="6" t="s">
        <v>91</v>
      </c>
      <c r="G43" s="6" t="s">
        <v>157</v>
      </c>
    </row>
    <row r="44" customFormat="false" ht="23.85" hidden="false" customHeight="false" outlineLevel="0" collapsed="false">
      <c r="A44" s="6" t="s">
        <v>339</v>
      </c>
      <c r="B44" s="13" t="s">
        <v>338</v>
      </c>
      <c r="C44" s="6" t="s">
        <v>340</v>
      </c>
      <c r="D44" s="6" t="s">
        <v>27</v>
      </c>
      <c r="E44" s="6" t="s">
        <v>28</v>
      </c>
      <c r="F44" s="6" t="s">
        <v>253</v>
      </c>
      <c r="G44" s="6" t="s">
        <v>291</v>
      </c>
    </row>
    <row r="45" customFormat="false" ht="15" hidden="false" customHeight="false" outlineLevel="0" collapsed="false">
      <c r="A45" s="6" t="s">
        <v>341</v>
      </c>
      <c r="B45" s="13" t="s">
        <v>338</v>
      </c>
      <c r="C45" s="6" t="s">
        <v>168</v>
      </c>
      <c r="D45" s="6" t="s">
        <v>37</v>
      </c>
      <c r="E45" s="6" t="s">
        <v>169</v>
      </c>
      <c r="F45" s="6" t="s">
        <v>178</v>
      </c>
      <c r="G45" s="6" t="s">
        <v>342</v>
      </c>
    </row>
    <row r="46" customFormat="false" ht="15" hidden="false" customHeight="false" outlineLevel="0" collapsed="false">
      <c r="A46" s="6" t="s">
        <v>343</v>
      </c>
      <c r="B46" s="13" t="s">
        <v>338</v>
      </c>
      <c r="C46" s="6" t="s">
        <v>176</v>
      </c>
      <c r="D46" s="6" t="s">
        <v>37</v>
      </c>
      <c r="E46" s="6" t="s">
        <v>177</v>
      </c>
      <c r="F46" s="6" t="s">
        <v>178</v>
      </c>
      <c r="G46" s="6" t="s">
        <v>179</v>
      </c>
    </row>
    <row r="47" customFormat="false" ht="15" hidden="false" customHeight="false" outlineLevel="0" collapsed="false">
      <c r="A47" s="6" t="s">
        <v>344</v>
      </c>
      <c r="B47" s="13" t="s">
        <v>338</v>
      </c>
      <c r="C47" s="6" t="s">
        <v>345</v>
      </c>
      <c r="D47" s="6" t="s">
        <v>37</v>
      </c>
      <c r="E47" s="6" t="s">
        <v>346</v>
      </c>
      <c r="F47" s="6" t="s">
        <v>178</v>
      </c>
      <c r="G47" s="6" t="s">
        <v>347</v>
      </c>
    </row>
    <row r="48" customFormat="false" ht="15" hidden="false" customHeight="false" outlineLevel="0" collapsed="false">
      <c r="A48" s="6" t="s">
        <v>348</v>
      </c>
      <c r="B48" s="13" t="s">
        <v>338</v>
      </c>
      <c r="C48" s="6" t="s">
        <v>185</v>
      </c>
      <c r="D48" s="6" t="s">
        <v>37</v>
      </c>
      <c r="E48" s="6" t="s">
        <v>186</v>
      </c>
      <c r="F48" s="6" t="s">
        <v>178</v>
      </c>
      <c r="G48" s="6"/>
    </row>
    <row r="49" customFormat="false" ht="15" hidden="false" customHeight="false" outlineLevel="0" collapsed="false">
      <c r="A49" s="6" t="s">
        <v>349</v>
      </c>
      <c r="B49" s="13" t="s">
        <v>338</v>
      </c>
      <c r="C49" s="6" t="s">
        <v>181</v>
      </c>
      <c r="D49" s="6" t="s">
        <v>49</v>
      </c>
      <c r="E49" s="6" t="s">
        <v>50</v>
      </c>
      <c r="F49" s="6" t="s">
        <v>178</v>
      </c>
      <c r="G49" s="6"/>
    </row>
    <row r="50" customFormat="false" ht="15" hidden="false" customHeight="false" outlineLevel="0" collapsed="false">
      <c r="A50" s="6" t="s">
        <v>350</v>
      </c>
      <c r="B50" s="13" t="s">
        <v>338</v>
      </c>
      <c r="C50" s="6" t="s">
        <v>183</v>
      </c>
      <c r="D50" s="6" t="s">
        <v>49</v>
      </c>
      <c r="E50" s="6" t="s">
        <v>50</v>
      </c>
      <c r="F50" s="6" t="s">
        <v>178</v>
      </c>
      <c r="G50" s="6" t="s">
        <v>351</v>
      </c>
    </row>
    <row r="51" customFormat="false" ht="15" hidden="false" customHeight="false" outlineLevel="0" collapsed="false">
      <c r="A51" s="6" t="s">
        <v>352</v>
      </c>
      <c r="B51" s="13" t="s">
        <v>338</v>
      </c>
      <c r="C51" s="6" t="s">
        <v>188</v>
      </c>
      <c r="D51" s="6" t="s">
        <v>49</v>
      </c>
      <c r="E51" s="6" t="s">
        <v>50</v>
      </c>
      <c r="F51" s="6" t="s">
        <v>178</v>
      </c>
      <c r="G51" s="6" t="s">
        <v>353</v>
      </c>
    </row>
    <row r="52" customFormat="false" ht="15" hidden="false" customHeight="false" outlineLevel="0" collapsed="false">
      <c r="A52" s="6" t="s">
        <v>354</v>
      </c>
      <c r="B52" s="13" t="s">
        <v>338</v>
      </c>
      <c r="C52" s="6" t="s">
        <v>355</v>
      </c>
      <c r="D52" s="6" t="s">
        <v>37</v>
      </c>
      <c r="E52" s="6" t="s">
        <v>356</v>
      </c>
      <c r="F52" s="6" t="s">
        <v>178</v>
      </c>
      <c r="G52" s="6" t="s">
        <v>357</v>
      </c>
    </row>
    <row r="53" customFormat="false" ht="15" hidden="false" customHeight="false" outlineLevel="0" collapsed="false">
      <c r="A53" s="6" t="s">
        <v>358</v>
      </c>
      <c r="B53" s="13" t="s">
        <v>338</v>
      </c>
      <c r="C53" s="6" t="s">
        <v>192</v>
      </c>
      <c r="D53" s="6" t="s">
        <v>37</v>
      </c>
      <c r="E53" s="6" t="s">
        <v>193</v>
      </c>
      <c r="F53" s="6" t="s">
        <v>178</v>
      </c>
      <c r="G53" s="6"/>
    </row>
    <row r="54" customFormat="false" ht="15" hidden="false" customHeight="false" outlineLevel="0" collapsed="false">
      <c r="A54" s="6" t="s">
        <v>359</v>
      </c>
      <c r="B54" s="13" t="s">
        <v>338</v>
      </c>
      <c r="C54" s="6" t="s">
        <v>360</v>
      </c>
      <c r="D54" s="6" t="s">
        <v>49</v>
      </c>
      <c r="E54" s="6" t="s">
        <v>50</v>
      </c>
      <c r="F54" s="6" t="s">
        <v>178</v>
      </c>
      <c r="G54" s="6" t="s">
        <v>196</v>
      </c>
    </row>
    <row r="55" customFormat="false" ht="35.05" hidden="false" customHeight="false" outlineLevel="0" collapsed="false">
      <c r="A55" s="6" t="s">
        <v>361</v>
      </c>
      <c r="B55" s="8" t="s">
        <v>198</v>
      </c>
      <c r="C55" s="6" t="s">
        <v>199</v>
      </c>
      <c r="D55" s="6" t="s">
        <v>37</v>
      </c>
      <c r="E55" s="6" t="s">
        <v>362</v>
      </c>
      <c r="F55" s="6" t="s">
        <v>363</v>
      </c>
      <c r="G55" s="6" t="s">
        <v>364</v>
      </c>
    </row>
    <row r="56" customFormat="false" ht="15" hidden="false" customHeight="false" outlineLevel="0" collapsed="false">
      <c r="A56" s="6" t="s">
        <v>365</v>
      </c>
      <c r="B56" s="8" t="s">
        <v>198</v>
      </c>
      <c r="C56" s="6" t="s">
        <v>205</v>
      </c>
      <c r="D56" s="6" t="s">
        <v>27</v>
      </c>
      <c r="E56" s="6" t="s">
        <v>28</v>
      </c>
      <c r="F56" s="6" t="s">
        <v>29</v>
      </c>
      <c r="G56" s="6" t="s">
        <v>206</v>
      </c>
    </row>
    <row r="57" customFormat="false" ht="15" hidden="false" customHeight="false" outlineLevel="0" collapsed="false">
      <c r="A57" s="6" t="s">
        <v>366</v>
      </c>
      <c r="B57" s="8" t="s">
        <v>198</v>
      </c>
      <c r="C57" s="6" t="s">
        <v>367</v>
      </c>
      <c r="D57" s="6" t="s">
        <v>27</v>
      </c>
      <c r="E57" s="6" t="s">
        <v>156</v>
      </c>
      <c r="F57" s="6" t="s">
        <v>91</v>
      </c>
      <c r="G57" s="6" t="s">
        <v>157</v>
      </c>
    </row>
  </sheetData>
  <autoFilter ref="A1:G57"/>
  <dataValidations count="1">
    <dataValidation allowBlank="false" error="Choose Slider, Radio, or Checkbox" errorStyle="stop" operator="between" showDropDown="false" showErrorMessage="false" showInputMessage="false" sqref="D2:D57" type="list">
      <formula1>"Slider,Radio,Checkbox"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5" min="2" style="0" width="12"/>
  </cols>
  <sheetData>
    <row r="1" customFormat="false" ht="17.35" hidden="false" customHeight="false" outlineLevel="0" collapsed="false">
      <c r="A1" s="30" t="s">
        <v>207</v>
      </c>
    </row>
    <row r="3" customFormat="false" ht="15" hidden="false" customHeight="false" outlineLevel="0" collapsed="false">
      <c r="A3" s="31" t="s">
        <v>208</v>
      </c>
    </row>
    <row r="4" customFormat="false" ht="15" hidden="false" customHeight="false" outlineLevel="0" collapsed="false">
      <c r="A4" s="32" t="s">
        <v>20</v>
      </c>
      <c r="B4" s="32" t="s">
        <v>209</v>
      </c>
    </row>
    <row r="5" customFormat="false" ht="15" hidden="false" customHeight="false" outlineLevel="0" collapsed="false">
      <c r="A5" s="33" t="s">
        <v>27</v>
      </c>
      <c r="B5" s="33" t="n">
        <f aca="false">COUNTIF('Bipolar Symptoms'!$D$2:$D$57,A5)</f>
        <v>30</v>
      </c>
    </row>
    <row r="6" customFormat="false" ht="15" hidden="false" customHeight="false" outlineLevel="0" collapsed="false">
      <c r="A6" s="33" t="s">
        <v>37</v>
      </c>
      <c r="B6" s="33" t="n">
        <f aca="false">COUNTIF('Bipolar Symptoms'!$D$2:$D$57,A6)</f>
        <v>11</v>
      </c>
    </row>
    <row r="7" customFormat="false" ht="15" hidden="false" customHeight="false" outlineLevel="0" collapsed="false">
      <c r="A7" s="33" t="s">
        <v>49</v>
      </c>
      <c r="B7" s="33" t="n">
        <f aca="false">COUNTIF('Bipolar Symptoms'!$D$2:$D$57,A7)</f>
        <v>15</v>
      </c>
    </row>
    <row r="8" customFormat="false" ht="15" hidden="false" customHeight="false" outlineLevel="0" collapsed="false">
      <c r="A8" s="34" t="s">
        <v>210</v>
      </c>
      <c r="B8" s="34" t="n">
        <f aca="false">SUM(B5:B7)</f>
        <v>56</v>
      </c>
    </row>
    <row r="10" customFormat="false" ht="15" hidden="false" customHeight="false" outlineLevel="0" collapsed="false">
      <c r="A10" s="31" t="s">
        <v>211</v>
      </c>
    </row>
    <row r="11" customFormat="false" ht="15" hidden="false" customHeight="false" outlineLevel="0" collapsed="false">
      <c r="A11" s="32" t="s">
        <v>18</v>
      </c>
      <c r="B11" s="32" t="s">
        <v>210</v>
      </c>
      <c r="C11" s="32" t="s">
        <v>27</v>
      </c>
      <c r="D11" s="32" t="s">
        <v>37</v>
      </c>
      <c r="E11" s="32" t="s">
        <v>49</v>
      </c>
    </row>
    <row r="12" customFormat="false" ht="15" hidden="false" customHeight="false" outlineLevel="0" collapsed="false">
      <c r="A12" s="35" t="s">
        <v>213</v>
      </c>
      <c r="B12" s="33" t="n">
        <f aca="false">COUNTIF('Bipolar Symptoms'!$B$2:$B$57,A12)</f>
        <v>7</v>
      </c>
      <c r="C12" s="33" t="n">
        <f aca="false">COUNTIFS('Bipolar Symptoms'!$B$2:$B$57,$A12,'Bipolar Symptoms'!$D$2:$D$57,C$11)</f>
        <v>6</v>
      </c>
      <c r="D12" s="33" t="n">
        <f aca="false">COUNTIFS('Bipolar Symptoms'!$B$2:$B$57,$A12,'Bipolar Symptoms'!$D$2:$D$57,D$11)</f>
        <v>0</v>
      </c>
      <c r="E12" s="33" t="n">
        <f aca="false">COUNTIFS('Bipolar Symptoms'!$B$2:$B$57,$A12,'Bipolar Symptoms'!$D$2:$D$57,E$11)</f>
        <v>1</v>
      </c>
    </row>
    <row r="13" customFormat="false" ht="15" hidden="false" customHeight="false" outlineLevel="0" collapsed="false">
      <c r="A13" s="36" t="s">
        <v>236</v>
      </c>
      <c r="B13" s="33" t="n">
        <f aca="false">COUNTIF('Bipolar Symptoms'!$B$2:$B$57,A13)</f>
        <v>8</v>
      </c>
      <c r="C13" s="33" t="n">
        <f aca="false">COUNTIFS('Bipolar Symptoms'!$B$2:$B$57,$A13,'Bipolar Symptoms'!$D$2:$D$57,C$11)</f>
        <v>6</v>
      </c>
      <c r="D13" s="33" t="n">
        <f aca="false">COUNTIFS('Bipolar Symptoms'!$B$2:$B$57,$A13,'Bipolar Symptoms'!$D$2:$D$57,D$11)</f>
        <v>1</v>
      </c>
      <c r="E13" s="33" t="n">
        <f aca="false">COUNTIFS('Bipolar Symptoms'!$B$2:$B$57,$A13,'Bipolar Symptoms'!$D$2:$D$57,E$11)</f>
        <v>1</v>
      </c>
    </row>
    <row r="14" customFormat="false" ht="15" hidden="false" customHeight="false" outlineLevel="0" collapsed="false">
      <c r="A14" s="37" t="s">
        <v>262</v>
      </c>
      <c r="B14" s="33" t="n">
        <f aca="false">COUNTIF('Bipolar Symptoms'!$B$2:$B$57,A14)</f>
        <v>5</v>
      </c>
      <c r="C14" s="33" t="n">
        <f aca="false">COUNTIFS('Bipolar Symptoms'!$B$2:$B$57,$A14,'Bipolar Symptoms'!$D$2:$D$57,C$11)</f>
        <v>1</v>
      </c>
      <c r="D14" s="33" t="n">
        <f aca="false">COUNTIFS('Bipolar Symptoms'!$B$2:$B$57,$A14,'Bipolar Symptoms'!$D$2:$D$57,D$11)</f>
        <v>1</v>
      </c>
      <c r="E14" s="33" t="n">
        <f aca="false">COUNTIFS('Bipolar Symptoms'!$B$2:$B$57,$A14,'Bipolar Symptoms'!$D$2:$D$57,E$11)</f>
        <v>3</v>
      </c>
    </row>
    <row r="15" customFormat="false" ht="15" hidden="false" customHeight="false" outlineLevel="0" collapsed="false">
      <c r="A15" s="38" t="s">
        <v>277</v>
      </c>
      <c r="B15" s="33" t="n">
        <f aca="false">COUNTIF('Bipolar Symptoms'!$B$2:$B$57,A15)</f>
        <v>4</v>
      </c>
      <c r="C15" s="33" t="n">
        <f aca="false">COUNTIFS('Bipolar Symptoms'!$B$2:$B$57,$A15,'Bipolar Symptoms'!$D$2:$D$57,C$11)</f>
        <v>2</v>
      </c>
      <c r="D15" s="33" t="n">
        <f aca="false">COUNTIFS('Bipolar Symptoms'!$B$2:$B$57,$A15,'Bipolar Symptoms'!$D$2:$D$57,D$11)</f>
        <v>0</v>
      </c>
      <c r="E15" s="33" t="n">
        <f aca="false">COUNTIFS('Bipolar Symptoms'!$B$2:$B$57,$A15,'Bipolar Symptoms'!$D$2:$D$57,E$11)</f>
        <v>2</v>
      </c>
    </row>
    <row r="16" customFormat="false" ht="15" hidden="false" customHeight="false" outlineLevel="0" collapsed="false">
      <c r="A16" s="39" t="s">
        <v>289</v>
      </c>
      <c r="B16" s="33" t="n">
        <f aca="false">COUNTIF('Bipolar Symptoms'!$B$2:$B$57,A16)</f>
        <v>8</v>
      </c>
      <c r="C16" s="33" t="n">
        <f aca="false">COUNTIFS('Bipolar Symptoms'!$B$2:$B$57,$A16,'Bipolar Symptoms'!$D$2:$D$57,C$11)</f>
        <v>7</v>
      </c>
      <c r="D16" s="33" t="n">
        <f aca="false">COUNTIFS('Bipolar Symptoms'!$B$2:$B$57,$A16,'Bipolar Symptoms'!$D$2:$D$57,D$11)</f>
        <v>0</v>
      </c>
      <c r="E16" s="33" t="n">
        <f aca="false">COUNTIFS('Bipolar Symptoms'!$B$2:$B$57,$A16,'Bipolar Symptoms'!$D$2:$D$57,E$11)</f>
        <v>1</v>
      </c>
    </row>
    <row r="17" customFormat="false" ht="15" hidden="false" customHeight="false" outlineLevel="0" collapsed="false">
      <c r="A17" s="40" t="s">
        <v>309</v>
      </c>
      <c r="B17" s="33" t="n">
        <f aca="false">COUNTIF('Bipolar Symptoms'!$B$2:$B$57,A17)</f>
        <v>6</v>
      </c>
      <c r="C17" s="33" t="n">
        <f aca="false">COUNTIFS('Bipolar Symptoms'!$B$2:$B$57,$A17,'Bipolar Symptoms'!$D$2:$D$57,C$11)</f>
        <v>4</v>
      </c>
      <c r="D17" s="33" t="n">
        <f aca="false">COUNTIFS('Bipolar Symptoms'!$B$2:$B$57,$A17,'Bipolar Symptoms'!$D$2:$D$57,D$11)</f>
        <v>1</v>
      </c>
      <c r="E17" s="33" t="n">
        <f aca="false">COUNTIFS('Bipolar Symptoms'!$B$2:$B$57,$A17,'Bipolar Symptoms'!$D$2:$D$57,E$11)</f>
        <v>1</v>
      </c>
    </row>
    <row r="18" customFormat="false" ht="15" hidden="false" customHeight="false" outlineLevel="0" collapsed="false">
      <c r="A18" s="41" t="s">
        <v>325</v>
      </c>
      <c r="B18" s="33" t="n">
        <f aca="false">COUNTIF('Bipolar Symptoms'!$B$2:$B$57,A18)</f>
        <v>2</v>
      </c>
      <c r="C18" s="33" t="n">
        <f aca="false">COUNTIFS('Bipolar Symptoms'!$B$2:$B$57,$A18,'Bipolar Symptoms'!$D$2:$D$57,C$11)</f>
        <v>0</v>
      </c>
      <c r="D18" s="33" t="n">
        <f aca="false">COUNTIFS('Bipolar Symptoms'!$B$2:$B$57,$A18,'Bipolar Symptoms'!$D$2:$D$57,D$11)</f>
        <v>0</v>
      </c>
      <c r="E18" s="33" t="n">
        <f aca="false">COUNTIFS('Bipolar Symptoms'!$B$2:$B$57,$A18,'Bipolar Symptoms'!$D$2:$D$57,E$11)</f>
        <v>2</v>
      </c>
    </row>
    <row r="19" customFormat="false" ht="15" hidden="false" customHeight="false" outlineLevel="0" collapsed="false">
      <c r="A19" s="42" t="s">
        <v>332</v>
      </c>
      <c r="B19" s="33" t="n">
        <f aca="false">COUNTIF('Bipolar Symptoms'!$B$2:$B$57,A19)</f>
        <v>1</v>
      </c>
      <c r="C19" s="33" t="n">
        <f aca="false">COUNTIFS('Bipolar Symptoms'!$B$2:$B$57,$A19,'Bipolar Symptoms'!$D$2:$D$57,C$11)</f>
        <v>0</v>
      </c>
      <c r="D19" s="33" t="n">
        <f aca="false">COUNTIFS('Bipolar Symptoms'!$B$2:$B$57,$A19,'Bipolar Symptoms'!$D$2:$D$57,D$11)</f>
        <v>1</v>
      </c>
      <c r="E19" s="33" t="n">
        <f aca="false">COUNTIFS('Bipolar Symptoms'!$B$2:$B$57,$A19,'Bipolar Symptoms'!$D$2:$D$57,E$11)</f>
        <v>0</v>
      </c>
    </row>
    <row r="20" customFormat="false" ht="15" hidden="false" customHeight="false" outlineLevel="0" collapsed="false">
      <c r="A20" s="43" t="s">
        <v>338</v>
      </c>
      <c r="B20" s="33" t="n">
        <f aca="false">COUNTIF('Bipolar Symptoms'!$B$2:$B$57,A20)</f>
        <v>12</v>
      </c>
      <c r="C20" s="33" t="n">
        <f aca="false">COUNTIFS('Bipolar Symptoms'!$B$2:$B$57,$A20,'Bipolar Symptoms'!$D$2:$D$57,C$11)</f>
        <v>2</v>
      </c>
      <c r="D20" s="33" t="n">
        <f aca="false">COUNTIFS('Bipolar Symptoms'!$B$2:$B$57,$A20,'Bipolar Symptoms'!$D$2:$D$57,D$11)</f>
        <v>6</v>
      </c>
      <c r="E20" s="33" t="n">
        <f aca="false">COUNTIFS('Bipolar Symptoms'!$B$2:$B$57,$A20,'Bipolar Symptoms'!$D$2:$D$57,E$11)</f>
        <v>4</v>
      </c>
    </row>
    <row r="21" customFormat="false" ht="15" hidden="false" customHeight="false" outlineLevel="0" collapsed="false">
      <c r="A21" s="44" t="s">
        <v>198</v>
      </c>
      <c r="B21" s="33" t="n">
        <f aca="false">COUNTIF('Bipolar Symptoms'!$B$2:$B$57,A21)</f>
        <v>3</v>
      </c>
      <c r="C21" s="33" t="n">
        <f aca="false">COUNTIFS('Bipolar Symptoms'!$B$2:$B$57,$A21,'Bipolar Symptoms'!$D$2:$D$57,C$11)</f>
        <v>2</v>
      </c>
      <c r="D21" s="33" t="n">
        <f aca="false">COUNTIFS('Bipolar Symptoms'!$B$2:$B$57,$A21,'Bipolar Symptoms'!$D$2:$D$57,D$11)</f>
        <v>1</v>
      </c>
      <c r="E21" s="33" t="n">
        <f aca="false">COUNTIFS('Bipolar Symptoms'!$B$2:$B$57,$A21,'Bipolar Symptoms'!$D$2:$D$57,E$11)</f>
        <v>0</v>
      </c>
    </row>
    <row r="22" customFormat="false" ht="15" hidden="false" customHeight="false" outlineLevel="0" collapsed="false">
      <c r="A22" s="34" t="s">
        <v>210</v>
      </c>
      <c r="B22" s="34" t="n">
        <f aca="false">SUM(B12:B21)</f>
        <v>56</v>
      </c>
      <c r="C22" s="34" t="n">
        <f aca="false">SUM(C12:C21)</f>
        <v>30</v>
      </c>
      <c r="D22" s="34" t="n">
        <f aca="false">SUM(D12:D21)</f>
        <v>11</v>
      </c>
      <c r="E22" s="34" t="n">
        <f aca="false">SUM(E12:E21)</f>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6"/>
    <col collapsed="false" customWidth="true" hidden="false" outlineLevel="0" max="4" min="4" style="0" width="26"/>
    <col collapsed="false" customWidth="true" hidden="false" outlineLevel="0" max="5" min="5" style="0" width="54"/>
    <col collapsed="false" customWidth="true" hidden="false" outlineLevel="0" max="6" min="6" style="0" width="34"/>
    <col collapsed="false" customWidth="true" hidden="false" outlineLevel="0" max="7" min="7" style="0" width="70"/>
  </cols>
  <sheetData>
    <row r="1" customFormat="false" ht="17.35" hidden="false" customHeight="false" outlineLevel="0" collapsed="false">
      <c r="A1" s="30" t="s">
        <v>368</v>
      </c>
    </row>
    <row r="2" customFormat="false" ht="42" hidden="false" customHeight="true" outlineLevel="0" collapsed="false">
      <c r="A2" s="45" t="s">
        <v>369</v>
      </c>
      <c r="B2" s="45"/>
      <c r="C2" s="45"/>
      <c r="D2" s="45"/>
      <c r="E2" s="45"/>
      <c r="F2" s="45"/>
      <c r="G2" s="45"/>
    </row>
    <row r="4" customFormat="false" ht="15" hidden="false" customHeight="false" outlineLevel="0" collapsed="false">
      <c r="A4" s="31" t="s">
        <v>370</v>
      </c>
    </row>
    <row r="5" customFormat="false" ht="15" hidden="false" customHeight="false" outlineLevel="0" collapsed="false">
      <c r="A5" s="32" t="s">
        <v>371</v>
      </c>
      <c r="B5" s="32" t="s">
        <v>372</v>
      </c>
      <c r="D5" s="31" t="s">
        <v>373</v>
      </c>
    </row>
    <row r="6" customFormat="false" ht="15" hidden="false" customHeight="true" outlineLevel="0" collapsed="false">
      <c r="A6" s="36" t="s">
        <v>374</v>
      </c>
      <c r="B6" s="33" t="n">
        <f aca="false">COUNTIF($A$13:$A$102,A6)</f>
        <v>26</v>
      </c>
      <c r="D6" s="45" t="s">
        <v>375</v>
      </c>
      <c r="E6" s="45"/>
      <c r="F6" s="45"/>
      <c r="G6" s="45"/>
    </row>
    <row r="7" customFormat="false" ht="15" hidden="false" customHeight="false" outlineLevel="0" collapsed="false">
      <c r="A7" s="38" t="s">
        <v>376</v>
      </c>
      <c r="B7" s="33" t="n">
        <f aca="false">COUNTIF($A$13:$A$102,A7)</f>
        <v>21</v>
      </c>
      <c r="D7" s="45"/>
      <c r="E7" s="45"/>
      <c r="F7" s="45"/>
      <c r="G7" s="45"/>
    </row>
    <row r="8" customFormat="false" ht="15" hidden="false" customHeight="false" outlineLevel="0" collapsed="false">
      <c r="A8" s="44" t="s">
        <v>377</v>
      </c>
      <c r="B8" s="33" t="n">
        <f aca="false">COUNTIF($A$13:$A$102,A8)</f>
        <v>17</v>
      </c>
      <c r="D8" s="45"/>
      <c r="E8" s="45"/>
      <c r="F8" s="45"/>
      <c r="G8" s="45"/>
    </row>
    <row r="9" customFormat="false" ht="15" hidden="false" customHeight="false" outlineLevel="0" collapsed="false">
      <c r="A9" s="43" t="s">
        <v>378</v>
      </c>
      <c r="B9" s="33" t="n">
        <f aca="false">COUNTIF($A$13:$A$102,A9)</f>
        <v>20</v>
      </c>
      <c r="D9" s="45"/>
      <c r="E9" s="45"/>
      <c r="F9" s="45"/>
      <c r="G9" s="45"/>
    </row>
    <row r="10" customFormat="false" ht="15" hidden="false" customHeight="false" outlineLevel="0" collapsed="false">
      <c r="A10" s="34" t="s">
        <v>379</v>
      </c>
      <c r="B10" s="34" t="n">
        <f aca="false">SUM(B6:B9)</f>
        <v>84</v>
      </c>
    </row>
    <row r="11" customFormat="false" ht="24" hidden="false" customHeight="true" outlineLevel="0" collapsed="false">
      <c r="A11" s="46" t="s">
        <v>380</v>
      </c>
      <c r="B11" s="46"/>
      <c r="C11" s="46"/>
      <c r="D11" s="46"/>
      <c r="E11" s="46"/>
      <c r="F11" s="46"/>
      <c r="G11" s="46"/>
    </row>
    <row r="12" customFormat="false" ht="15" hidden="false" customHeight="false" outlineLevel="0" collapsed="false">
      <c r="A12" s="5" t="s">
        <v>371</v>
      </c>
      <c r="B12" s="5" t="s">
        <v>381</v>
      </c>
      <c r="C12" s="5" t="s">
        <v>382</v>
      </c>
      <c r="D12" s="5" t="s">
        <v>18</v>
      </c>
      <c r="E12" s="5" t="s">
        <v>383</v>
      </c>
      <c r="F12" s="5" t="s">
        <v>384</v>
      </c>
      <c r="G12" s="5" t="s">
        <v>385</v>
      </c>
    </row>
    <row r="13" customFormat="false" ht="15" hidden="false" customHeight="false" outlineLevel="0" collapsed="false">
      <c r="A13" s="7" t="s">
        <v>374</v>
      </c>
      <c r="B13" s="6" t="s">
        <v>33</v>
      </c>
      <c r="C13" s="6"/>
      <c r="D13" s="6" t="s">
        <v>25</v>
      </c>
      <c r="E13" s="6" t="s">
        <v>34</v>
      </c>
      <c r="F13" s="6" t="s">
        <v>386</v>
      </c>
      <c r="G13" s="6" t="s">
        <v>387</v>
      </c>
    </row>
    <row r="14" customFormat="false" ht="15" hidden="false" customHeight="false" outlineLevel="0" collapsed="false">
      <c r="A14" s="7" t="s">
        <v>374</v>
      </c>
      <c r="B14" s="6" t="s">
        <v>35</v>
      </c>
      <c r="C14" s="6"/>
      <c r="D14" s="6" t="s">
        <v>25</v>
      </c>
      <c r="E14" s="6" t="s">
        <v>36</v>
      </c>
      <c r="F14" s="6" t="s">
        <v>388</v>
      </c>
      <c r="G14" s="6" t="s">
        <v>389</v>
      </c>
    </row>
    <row r="15" customFormat="false" ht="15" hidden="false" customHeight="false" outlineLevel="0" collapsed="false">
      <c r="A15" s="7" t="s">
        <v>374</v>
      </c>
      <c r="B15" s="6" t="s">
        <v>40</v>
      </c>
      <c r="C15" s="6"/>
      <c r="D15" s="6" t="s">
        <v>25</v>
      </c>
      <c r="E15" s="6" t="s">
        <v>41</v>
      </c>
      <c r="F15" s="6" t="s">
        <v>388</v>
      </c>
      <c r="G15" s="6" t="s">
        <v>387</v>
      </c>
    </row>
    <row r="16" customFormat="false" ht="15" hidden="false" customHeight="false" outlineLevel="0" collapsed="false">
      <c r="A16" s="7" t="s">
        <v>374</v>
      </c>
      <c r="B16" s="6" t="s">
        <v>43</v>
      </c>
      <c r="C16" s="6"/>
      <c r="D16" s="6" t="s">
        <v>25</v>
      </c>
      <c r="E16" s="6" t="s">
        <v>44</v>
      </c>
      <c r="F16" s="6" t="s">
        <v>386</v>
      </c>
      <c r="G16" s="6" t="s">
        <v>387</v>
      </c>
    </row>
    <row r="17" customFormat="false" ht="15" hidden="false" customHeight="false" outlineLevel="0" collapsed="false">
      <c r="A17" s="7" t="s">
        <v>374</v>
      </c>
      <c r="B17" s="6" t="s">
        <v>45</v>
      </c>
      <c r="C17" s="6"/>
      <c r="D17" s="6" t="s">
        <v>25</v>
      </c>
      <c r="E17" s="6" t="s">
        <v>46</v>
      </c>
      <c r="F17" s="6" t="s">
        <v>386</v>
      </c>
      <c r="G17" s="6" t="s">
        <v>387</v>
      </c>
    </row>
    <row r="18" customFormat="false" ht="15" hidden="false" customHeight="false" outlineLevel="0" collapsed="false">
      <c r="A18" s="7" t="s">
        <v>374</v>
      </c>
      <c r="B18" s="6" t="s">
        <v>47</v>
      </c>
      <c r="C18" s="6"/>
      <c r="D18" s="6" t="s">
        <v>25</v>
      </c>
      <c r="E18" s="6" t="s">
        <v>48</v>
      </c>
      <c r="F18" s="6" t="s">
        <v>390</v>
      </c>
      <c r="G18" s="6" t="s">
        <v>387</v>
      </c>
    </row>
    <row r="19" customFormat="false" ht="15" hidden="false" customHeight="false" outlineLevel="0" collapsed="false">
      <c r="A19" s="7" t="s">
        <v>374</v>
      </c>
      <c r="B19" s="6" t="s">
        <v>51</v>
      </c>
      <c r="C19" s="6"/>
      <c r="D19" s="6" t="s">
        <v>25</v>
      </c>
      <c r="E19" s="6" t="s">
        <v>52</v>
      </c>
      <c r="F19" s="6" t="s">
        <v>390</v>
      </c>
      <c r="G19" s="6" t="s">
        <v>391</v>
      </c>
    </row>
    <row r="20" customFormat="false" ht="23.85" hidden="false" customHeight="false" outlineLevel="0" collapsed="false">
      <c r="A20" s="7" t="s">
        <v>374</v>
      </c>
      <c r="B20" s="6" t="s">
        <v>57</v>
      </c>
      <c r="C20" s="6"/>
      <c r="D20" s="6" t="s">
        <v>25</v>
      </c>
      <c r="E20" s="6" t="s">
        <v>58</v>
      </c>
      <c r="F20" s="6" t="s">
        <v>388</v>
      </c>
      <c r="G20" s="6" t="s">
        <v>392</v>
      </c>
    </row>
    <row r="21" customFormat="false" ht="15" hidden="false" customHeight="false" outlineLevel="0" collapsed="false">
      <c r="A21" s="7" t="s">
        <v>374</v>
      </c>
      <c r="B21" s="6" t="s">
        <v>66</v>
      </c>
      <c r="C21" s="6"/>
      <c r="D21" s="6" t="s">
        <v>63</v>
      </c>
      <c r="E21" s="6" t="s">
        <v>67</v>
      </c>
      <c r="F21" s="6" t="s">
        <v>386</v>
      </c>
      <c r="G21" s="6" t="s">
        <v>393</v>
      </c>
    </row>
    <row r="22" customFormat="false" ht="15" hidden="false" customHeight="false" outlineLevel="0" collapsed="false">
      <c r="A22" s="7" t="s">
        <v>374</v>
      </c>
      <c r="B22" s="6" t="s">
        <v>68</v>
      </c>
      <c r="C22" s="6"/>
      <c r="D22" s="6" t="s">
        <v>63</v>
      </c>
      <c r="E22" s="6" t="s">
        <v>69</v>
      </c>
      <c r="F22" s="6" t="s">
        <v>386</v>
      </c>
      <c r="G22" s="6" t="s">
        <v>393</v>
      </c>
    </row>
    <row r="23" customFormat="false" ht="15" hidden="false" customHeight="false" outlineLevel="0" collapsed="false">
      <c r="A23" s="7" t="s">
        <v>374</v>
      </c>
      <c r="B23" s="6" t="s">
        <v>70</v>
      </c>
      <c r="C23" s="6"/>
      <c r="D23" s="6" t="s">
        <v>63</v>
      </c>
      <c r="E23" s="6" t="s">
        <v>71</v>
      </c>
      <c r="F23" s="6" t="s">
        <v>386</v>
      </c>
      <c r="G23" s="6" t="s">
        <v>394</v>
      </c>
    </row>
    <row r="24" customFormat="false" ht="15" hidden="false" customHeight="false" outlineLevel="0" collapsed="false">
      <c r="A24" s="7" t="s">
        <v>374</v>
      </c>
      <c r="B24" s="6" t="s">
        <v>73</v>
      </c>
      <c r="C24" s="6"/>
      <c r="D24" s="6" t="s">
        <v>63</v>
      </c>
      <c r="E24" s="6" t="s">
        <v>74</v>
      </c>
      <c r="F24" s="6" t="s">
        <v>386</v>
      </c>
      <c r="G24" s="6" t="s">
        <v>393</v>
      </c>
    </row>
    <row r="25" customFormat="false" ht="15" hidden="false" customHeight="false" outlineLevel="0" collapsed="false">
      <c r="A25" s="7" t="s">
        <v>374</v>
      </c>
      <c r="B25" s="6" t="s">
        <v>75</v>
      </c>
      <c r="C25" s="6"/>
      <c r="D25" s="6" t="s">
        <v>63</v>
      </c>
      <c r="E25" s="6" t="s">
        <v>76</v>
      </c>
      <c r="F25" s="6" t="s">
        <v>386</v>
      </c>
      <c r="G25" s="6" t="s">
        <v>395</v>
      </c>
    </row>
    <row r="26" customFormat="false" ht="15" hidden="false" customHeight="false" outlineLevel="0" collapsed="false">
      <c r="A26" s="7" t="s">
        <v>374</v>
      </c>
      <c r="B26" s="6" t="s">
        <v>78</v>
      </c>
      <c r="C26" s="6"/>
      <c r="D26" s="6" t="s">
        <v>63</v>
      </c>
      <c r="E26" s="6" t="s">
        <v>79</v>
      </c>
      <c r="F26" s="6" t="s">
        <v>388</v>
      </c>
      <c r="G26" s="6" t="s">
        <v>396</v>
      </c>
    </row>
    <row r="27" customFormat="false" ht="15" hidden="false" customHeight="false" outlineLevel="0" collapsed="false">
      <c r="A27" s="7" t="s">
        <v>374</v>
      </c>
      <c r="B27" s="6" t="s">
        <v>82</v>
      </c>
      <c r="C27" s="6"/>
      <c r="D27" s="6" t="s">
        <v>63</v>
      </c>
      <c r="E27" s="6" t="s">
        <v>83</v>
      </c>
      <c r="F27" s="6" t="s">
        <v>390</v>
      </c>
      <c r="G27" s="6" t="s">
        <v>387</v>
      </c>
    </row>
    <row r="28" customFormat="false" ht="15" hidden="false" customHeight="false" outlineLevel="0" collapsed="false">
      <c r="A28" s="7" t="s">
        <v>374</v>
      </c>
      <c r="B28" s="6" t="s">
        <v>84</v>
      </c>
      <c r="C28" s="6"/>
      <c r="D28" s="6" t="s">
        <v>63</v>
      </c>
      <c r="E28" s="6" t="s">
        <v>85</v>
      </c>
      <c r="F28" s="6" t="s">
        <v>388</v>
      </c>
      <c r="G28" s="6" t="s">
        <v>397</v>
      </c>
    </row>
    <row r="29" customFormat="false" ht="15" hidden="false" customHeight="false" outlineLevel="0" collapsed="false">
      <c r="A29" s="7" t="s">
        <v>374</v>
      </c>
      <c r="B29" s="6" t="s">
        <v>99</v>
      </c>
      <c r="C29" s="6"/>
      <c r="D29" s="6" t="s">
        <v>94</v>
      </c>
      <c r="E29" s="6" t="s">
        <v>100</v>
      </c>
      <c r="F29" s="6" t="s">
        <v>386</v>
      </c>
      <c r="G29" s="6" t="s">
        <v>398</v>
      </c>
    </row>
    <row r="30" customFormat="false" ht="15" hidden="false" customHeight="false" outlineLevel="0" collapsed="false">
      <c r="A30" s="7" t="s">
        <v>374</v>
      </c>
      <c r="B30" s="6" t="s">
        <v>114</v>
      </c>
      <c r="C30" s="6"/>
      <c r="D30" s="6" t="s">
        <v>111</v>
      </c>
      <c r="E30" s="6" t="s">
        <v>115</v>
      </c>
      <c r="F30" s="6" t="s">
        <v>390</v>
      </c>
      <c r="G30" s="6" t="s">
        <v>399</v>
      </c>
    </row>
    <row r="31" customFormat="false" ht="15" hidden="false" customHeight="false" outlineLevel="0" collapsed="false">
      <c r="A31" s="7" t="s">
        <v>374</v>
      </c>
      <c r="B31" s="6" t="s">
        <v>116</v>
      </c>
      <c r="C31" s="6"/>
      <c r="D31" s="6" t="s">
        <v>111</v>
      </c>
      <c r="E31" s="6" t="s">
        <v>117</v>
      </c>
      <c r="F31" s="6" t="s">
        <v>386</v>
      </c>
      <c r="G31" s="6" t="s">
        <v>399</v>
      </c>
    </row>
    <row r="32" customFormat="false" ht="15" hidden="false" customHeight="false" outlineLevel="0" collapsed="false">
      <c r="A32" s="7" t="s">
        <v>374</v>
      </c>
      <c r="B32" s="6" t="s">
        <v>121</v>
      </c>
      <c r="C32" s="6"/>
      <c r="D32" s="6" t="s">
        <v>111</v>
      </c>
      <c r="E32" s="6" t="s">
        <v>122</v>
      </c>
      <c r="F32" s="6" t="s">
        <v>390</v>
      </c>
      <c r="G32" s="6" t="s">
        <v>393</v>
      </c>
    </row>
    <row r="33" customFormat="false" ht="15" hidden="false" customHeight="false" outlineLevel="0" collapsed="false">
      <c r="A33" s="7" t="s">
        <v>374</v>
      </c>
      <c r="B33" s="6" t="s">
        <v>123</v>
      </c>
      <c r="C33" s="6"/>
      <c r="D33" s="6" t="s">
        <v>111</v>
      </c>
      <c r="E33" s="6" t="s">
        <v>124</v>
      </c>
      <c r="F33" s="6" t="s">
        <v>386</v>
      </c>
      <c r="G33" s="6" t="s">
        <v>400</v>
      </c>
    </row>
    <row r="34" customFormat="false" ht="15" hidden="false" customHeight="false" outlineLevel="0" collapsed="false">
      <c r="A34" s="7" t="s">
        <v>374</v>
      </c>
      <c r="B34" s="6" t="s">
        <v>126</v>
      </c>
      <c r="C34" s="6"/>
      <c r="D34" s="6" t="s">
        <v>111</v>
      </c>
      <c r="E34" s="6" t="s">
        <v>127</v>
      </c>
      <c r="F34" s="6" t="s">
        <v>388</v>
      </c>
      <c r="G34" s="6" t="s">
        <v>393</v>
      </c>
    </row>
    <row r="35" customFormat="false" ht="15" hidden="false" customHeight="false" outlineLevel="0" collapsed="false">
      <c r="A35" s="7" t="s">
        <v>374</v>
      </c>
      <c r="B35" s="6" t="s">
        <v>137</v>
      </c>
      <c r="C35" s="6"/>
      <c r="D35" s="6" t="s">
        <v>130</v>
      </c>
      <c r="E35" s="6" t="s">
        <v>138</v>
      </c>
      <c r="F35" s="6" t="s">
        <v>386</v>
      </c>
      <c r="G35" s="6" t="s">
        <v>393</v>
      </c>
    </row>
    <row r="36" customFormat="false" ht="15" hidden="false" customHeight="false" outlineLevel="0" collapsed="false">
      <c r="A36" s="7" t="s">
        <v>374</v>
      </c>
      <c r="B36" s="6" t="s">
        <v>139</v>
      </c>
      <c r="C36" s="6"/>
      <c r="D36" s="6" t="s">
        <v>130</v>
      </c>
      <c r="E36" s="6" t="s">
        <v>140</v>
      </c>
      <c r="F36" s="6" t="s">
        <v>386</v>
      </c>
      <c r="G36" s="6" t="s">
        <v>401</v>
      </c>
    </row>
    <row r="37" customFormat="false" ht="15" hidden="false" customHeight="false" outlineLevel="0" collapsed="false">
      <c r="A37" s="7" t="s">
        <v>374</v>
      </c>
      <c r="B37" s="6" t="s">
        <v>149</v>
      </c>
      <c r="C37" s="6"/>
      <c r="D37" s="6" t="s">
        <v>130</v>
      </c>
      <c r="E37" s="6" t="s">
        <v>150</v>
      </c>
      <c r="F37" s="6" t="s">
        <v>386</v>
      </c>
      <c r="G37" s="6" t="s">
        <v>393</v>
      </c>
    </row>
    <row r="38" customFormat="false" ht="15" hidden="false" customHeight="false" outlineLevel="0" collapsed="false">
      <c r="A38" s="7" t="s">
        <v>374</v>
      </c>
      <c r="B38" s="6" t="s">
        <v>202</v>
      </c>
      <c r="C38" s="6"/>
      <c r="D38" s="6" t="s">
        <v>198</v>
      </c>
      <c r="E38" s="6" t="s">
        <v>203</v>
      </c>
      <c r="F38" s="6" t="s">
        <v>386</v>
      </c>
      <c r="G38" s="6" t="s">
        <v>402</v>
      </c>
    </row>
    <row r="40" customFormat="false" ht="24" hidden="false" customHeight="true" outlineLevel="0" collapsed="false">
      <c r="A40" s="47" t="s">
        <v>403</v>
      </c>
      <c r="B40" s="47"/>
      <c r="C40" s="47"/>
      <c r="D40" s="47"/>
      <c r="E40" s="47"/>
      <c r="F40" s="47"/>
      <c r="G40" s="47"/>
    </row>
    <row r="41" customFormat="false" ht="15" hidden="false" customHeight="false" outlineLevel="0" collapsed="false">
      <c r="A41" s="5" t="s">
        <v>371</v>
      </c>
      <c r="B41" s="5" t="s">
        <v>381</v>
      </c>
      <c r="C41" s="5" t="s">
        <v>382</v>
      </c>
      <c r="D41" s="5" t="s">
        <v>18</v>
      </c>
      <c r="E41" s="5" t="s">
        <v>383</v>
      </c>
      <c r="F41" s="5" t="s">
        <v>384</v>
      </c>
      <c r="G41" s="5" t="s">
        <v>385</v>
      </c>
    </row>
    <row r="42" customFormat="false" ht="23.85" hidden="false" customHeight="false" outlineLevel="0" collapsed="false">
      <c r="A42" s="10" t="s">
        <v>376</v>
      </c>
      <c r="B42" s="6"/>
      <c r="C42" s="6" t="s">
        <v>212</v>
      </c>
      <c r="D42" s="6" t="s">
        <v>213</v>
      </c>
      <c r="E42" s="6" t="s">
        <v>214</v>
      </c>
      <c r="F42" s="6" t="s">
        <v>404</v>
      </c>
      <c r="G42" s="6" t="s">
        <v>216</v>
      </c>
    </row>
    <row r="43" customFormat="false" ht="23.85" hidden="false" customHeight="false" outlineLevel="0" collapsed="false">
      <c r="A43" s="10" t="s">
        <v>376</v>
      </c>
      <c r="B43" s="6"/>
      <c r="C43" s="6" t="s">
        <v>217</v>
      </c>
      <c r="D43" s="6" t="s">
        <v>213</v>
      </c>
      <c r="E43" s="6" t="s">
        <v>218</v>
      </c>
      <c r="F43" s="6" t="s">
        <v>404</v>
      </c>
      <c r="G43" s="6" t="s">
        <v>219</v>
      </c>
    </row>
    <row r="44" customFormat="false" ht="23.85" hidden="false" customHeight="false" outlineLevel="0" collapsed="false">
      <c r="A44" s="10" t="s">
        <v>376</v>
      </c>
      <c r="B44" s="6"/>
      <c r="C44" s="6" t="s">
        <v>220</v>
      </c>
      <c r="D44" s="6" t="s">
        <v>213</v>
      </c>
      <c r="E44" s="6" t="s">
        <v>221</v>
      </c>
      <c r="F44" s="6" t="s">
        <v>404</v>
      </c>
      <c r="G44" s="6" t="s">
        <v>222</v>
      </c>
    </row>
    <row r="45" customFormat="false" ht="23.85" hidden="false" customHeight="false" outlineLevel="0" collapsed="false">
      <c r="A45" s="10" t="s">
        <v>376</v>
      </c>
      <c r="B45" s="6"/>
      <c r="C45" s="6" t="s">
        <v>223</v>
      </c>
      <c r="D45" s="6" t="s">
        <v>213</v>
      </c>
      <c r="E45" s="6" t="s">
        <v>224</v>
      </c>
      <c r="F45" s="6" t="s">
        <v>404</v>
      </c>
      <c r="G45" s="6" t="s">
        <v>225</v>
      </c>
    </row>
    <row r="46" customFormat="false" ht="23.85" hidden="false" customHeight="false" outlineLevel="0" collapsed="false">
      <c r="A46" s="10" t="s">
        <v>376</v>
      </c>
      <c r="B46" s="6"/>
      <c r="C46" s="6" t="s">
        <v>226</v>
      </c>
      <c r="D46" s="6" t="s">
        <v>213</v>
      </c>
      <c r="E46" s="6" t="s">
        <v>227</v>
      </c>
      <c r="F46" s="6" t="s">
        <v>405</v>
      </c>
      <c r="G46" s="6" t="s">
        <v>228</v>
      </c>
    </row>
    <row r="47" customFormat="false" ht="23.85" hidden="false" customHeight="false" outlineLevel="0" collapsed="false">
      <c r="A47" s="10" t="s">
        <v>376</v>
      </c>
      <c r="B47" s="6"/>
      <c r="C47" s="6" t="s">
        <v>229</v>
      </c>
      <c r="D47" s="6" t="s">
        <v>213</v>
      </c>
      <c r="E47" s="6" t="s">
        <v>230</v>
      </c>
      <c r="F47" s="6" t="s">
        <v>404</v>
      </c>
      <c r="G47" s="6" t="s">
        <v>231</v>
      </c>
    </row>
    <row r="48" customFormat="false" ht="15" hidden="false" customHeight="false" outlineLevel="0" collapsed="false">
      <c r="A48" s="10" t="s">
        <v>376</v>
      </c>
      <c r="B48" s="6"/>
      <c r="C48" s="6" t="s">
        <v>255</v>
      </c>
      <c r="D48" s="6" t="s">
        <v>236</v>
      </c>
      <c r="E48" s="6" t="s">
        <v>256</v>
      </c>
      <c r="F48" s="6" t="s">
        <v>404</v>
      </c>
      <c r="G48" s="6" t="s">
        <v>257</v>
      </c>
    </row>
    <row r="49" customFormat="false" ht="15" hidden="false" customHeight="false" outlineLevel="0" collapsed="false">
      <c r="A49" s="10" t="s">
        <v>376</v>
      </c>
      <c r="B49" s="6"/>
      <c r="C49" s="6" t="s">
        <v>258</v>
      </c>
      <c r="D49" s="6" t="s">
        <v>236</v>
      </c>
      <c r="E49" s="6" t="s">
        <v>259</v>
      </c>
      <c r="F49" s="6" t="s">
        <v>405</v>
      </c>
      <c r="G49" s="6" t="s">
        <v>260</v>
      </c>
    </row>
    <row r="50" customFormat="false" ht="23.85" hidden="false" customHeight="false" outlineLevel="0" collapsed="false">
      <c r="A50" s="10" t="s">
        <v>376</v>
      </c>
      <c r="B50" s="6"/>
      <c r="C50" s="6" t="s">
        <v>266</v>
      </c>
      <c r="D50" s="6" t="s">
        <v>262</v>
      </c>
      <c r="E50" s="6" t="s">
        <v>267</v>
      </c>
      <c r="F50" s="6" t="s">
        <v>405</v>
      </c>
      <c r="G50" s="6" t="s">
        <v>268</v>
      </c>
    </row>
    <row r="51" customFormat="false" ht="15" hidden="false" customHeight="false" outlineLevel="0" collapsed="false">
      <c r="A51" s="10" t="s">
        <v>376</v>
      </c>
      <c r="B51" s="6"/>
      <c r="C51" s="6" t="s">
        <v>272</v>
      </c>
      <c r="D51" s="6" t="s">
        <v>262</v>
      </c>
      <c r="E51" s="6" t="s">
        <v>273</v>
      </c>
      <c r="F51" s="6" t="s">
        <v>405</v>
      </c>
      <c r="G51" s="6" t="s">
        <v>274</v>
      </c>
    </row>
    <row r="52" customFormat="false" ht="23.85" hidden="false" customHeight="false" outlineLevel="0" collapsed="false">
      <c r="A52" s="10" t="s">
        <v>376</v>
      </c>
      <c r="B52" s="6"/>
      <c r="C52" s="6" t="s">
        <v>282</v>
      </c>
      <c r="D52" s="6" t="s">
        <v>277</v>
      </c>
      <c r="E52" s="6" t="s">
        <v>283</v>
      </c>
      <c r="F52" s="6" t="s">
        <v>405</v>
      </c>
      <c r="G52" s="6" t="s">
        <v>284</v>
      </c>
    </row>
    <row r="53" customFormat="false" ht="15" hidden="false" customHeight="false" outlineLevel="0" collapsed="false">
      <c r="A53" s="10" t="s">
        <v>376</v>
      </c>
      <c r="B53" s="6"/>
      <c r="C53" s="6" t="s">
        <v>285</v>
      </c>
      <c r="D53" s="6" t="s">
        <v>277</v>
      </c>
      <c r="E53" s="6" t="s">
        <v>286</v>
      </c>
      <c r="F53" s="6" t="s">
        <v>404</v>
      </c>
      <c r="G53" s="6" t="s">
        <v>287</v>
      </c>
    </row>
    <row r="54" customFormat="false" ht="15" hidden="false" customHeight="false" outlineLevel="0" collapsed="false">
      <c r="A54" s="10" t="s">
        <v>376</v>
      </c>
      <c r="B54" s="6"/>
      <c r="C54" s="6" t="s">
        <v>292</v>
      </c>
      <c r="D54" s="6" t="s">
        <v>289</v>
      </c>
      <c r="E54" s="6" t="s">
        <v>293</v>
      </c>
      <c r="F54" s="6" t="s">
        <v>404</v>
      </c>
      <c r="G54" s="6" t="s">
        <v>294</v>
      </c>
    </row>
    <row r="55" customFormat="false" ht="15" hidden="false" customHeight="false" outlineLevel="0" collapsed="false">
      <c r="A55" s="10" t="s">
        <v>376</v>
      </c>
      <c r="B55" s="6"/>
      <c r="C55" s="6" t="s">
        <v>295</v>
      </c>
      <c r="D55" s="6" t="s">
        <v>289</v>
      </c>
      <c r="E55" s="6" t="s">
        <v>296</v>
      </c>
      <c r="F55" s="6" t="s">
        <v>404</v>
      </c>
      <c r="G55" s="6"/>
    </row>
    <row r="56" customFormat="false" ht="15" hidden="false" customHeight="false" outlineLevel="0" collapsed="false">
      <c r="A56" s="10" t="s">
        <v>376</v>
      </c>
      <c r="B56" s="6"/>
      <c r="C56" s="6" t="s">
        <v>299</v>
      </c>
      <c r="D56" s="6" t="s">
        <v>289</v>
      </c>
      <c r="E56" s="6" t="s">
        <v>300</v>
      </c>
      <c r="F56" s="6" t="s">
        <v>405</v>
      </c>
      <c r="G56" s="6"/>
    </row>
    <row r="57" customFormat="false" ht="15" hidden="false" customHeight="false" outlineLevel="0" collapsed="false">
      <c r="A57" s="10" t="s">
        <v>376</v>
      </c>
      <c r="B57" s="6"/>
      <c r="C57" s="6" t="s">
        <v>301</v>
      </c>
      <c r="D57" s="6" t="s">
        <v>289</v>
      </c>
      <c r="E57" s="6" t="s">
        <v>302</v>
      </c>
      <c r="F57" s="6" t="s">
        <v>404</v>
      </c>
      <c r="G57" s="6" t="s">
        <v>303</v>
      </c>
    </row>
    <row r="58" customFormat="false" ht="15" hidden="false" customHeight="false" outlineLevel="0" collapsed="false">
      <c r="A58" s="10" t="s">
        <v>376</v>
      </c>
      <c r="B58" s="6"/>
      <c r="C58" s="6" t="s">
        <v>304</v>
      </c>
      <c r="D58" s="6" t="s">
        <v>289</v>
      </c>
      <c r="E58" s="6" t="s">
        <v>305</v>
      </c>
      <c r="F58" s="6" t="s">
        <v>404</v>
      </c>
      <c r="G58" s="6"/>
    </row>
    <row r="59" customFormat="false" ht="23.85" hidden="false" customHeight="false" outlineLevel="0" collapsed="false">
      <c r="A59" s="10" t="s">
        <v>376</v>
      </c>
      <c r="B59" s="6"/>
      <c r="C59" s="6" t="s">
        <v>320</v>
      </c>
      <c r="D59" s="6" t="s">
        <v>309</v>
      </c>
      <c r="E59" s="6" t="s">
        <v>321</v>
      </c>
      <c r="F59" s="6" t="s">
        <v>404</v>
      </c>
      <c r="G59" s="6" t="s">
        <v>322</v>
      </c>
    </row>
    <row r="60" customFormat="false" ht="23.85" hidden="false" customHeight="false" outlineLevel="0" collapsed="false">
      <c r="A60" s="10" t="s">
        <v>376</v>
      </c>
      <c r="B60" s="6"/>
      <c r="C60" s="6" t="s">
        <v>324</v>
      </c>
      <c r="D60" s="6" t="s">
        <v>325</v>
      </c>
      <c r="E60" s="6" t="s">
        <v>326</v>
      </c>
      <c r="F60" s="6" t="s">
        <v>405</v>
      </c>
      <c r="G60" s="6" t="s">
        <v>327</v>
      </c>
    </row>
    <row r="61" customFormat="false" ht="15" hidden="false" customHeight="false" outlineLevel="0" collapsed="false">
      <c r="A61" s="10" t="s">
        <v>376</v>
      </c>
      <c r="B61" s="6"/>
      <c r="C61" s="6" t="s">
        <v>328</v>
      </c>
      <c r="D61" s="6" t="s">
        <v>325</v>
      </c>
      <c r="E61" s="6" t="s">
        <v>329</v>
      </c>
      <c r="F61" s="6" t="s">
        <v>405</v>
      </c>
      <c r="G61" s="6" t="s">
        <v>330</v>
      </c>
    </row>
    <row r="62" customFormat="false" ht="35.05" hidden="false" customHeight="false" outlineLevel="0" collapsed="false">
      <c r="A62" s="10" t="s">
        <v>376</v>
      </c>
      <c r="B62" s="6"/>
      <c r="C62" s="6" t="s">
        <v>331</v>
      </c>
      <c r="D62" s="6" t="s">
        <v>332</v>
      </c>
      <c r="E62" s="6" t="s">
        <v>333</v>
      </c>
      <c r="F62" s="6" t="s">
        <v>406</v>
      </c>
      <c r="G62" s="6" t="s">
        <v>336</v>
      </c>
    </row>
    <row r="64" customFormat="false" ht="24" hidden="false" customHeight="true" outlineLevel="0" collapsed="false">
      <c r="A64" s="48" t="s">
        <v>407</v>
      </c>
      <c r="B64" s="48"/>
      <c r="C64" s="48"/>
      <c r="D64" s="48"/>
      <c r="E64" s="48"/>
      <c r="F64" s="48"/>
      <c r="G64" s="48"/>
    </row>
    <row r="65" customFormat="false" ht="15" hidden="false" customHeight="false" outlineLevel="0" collapsed="false">
      <c r="A65" s="5" t="s">
        <v>371</v>
      </c>
      <c r="B65" s="5" t="s">
        <v>381</v>
      </c>
      <c r="C65" s="5" t="s">
        <v>382</v>
      </c>
      <c r="D65" s="5" t="s">
        <v>18</v>
      </c>
      <c r="E65" s="5" t="s">
        <v>383</v>
      </c>
      <c r="F65" s="5" t="s">
        <v>384</v>
      </c>
      <c r="G65" s="5" t="s">
        <v>385</v>
      </c>
    </row>
    <row r="66" customFormat="false" ht="23.85" hidden="false" customHeight="false" outlineLevel="0" collapsed="false">
      <c r="A66" s="8" t="s">
        <v>377</v>
      </c>
      <c r="B66" s="6" t="s">
        <v>24</v>
      </c>
      <c r="C66" s="6" t="s">
        <v>248</v>
      </c>
      <c r="D66" s="6" t="s">
        <v>408</v>
      </c>
      <c r="E66" s="6" t="s">
        <v>409</v>
      </c>
      <c r="F66" s="6" t="s">
        <v>410</v>
      </c>
      <c r="G66" s="6" t="s">
        <v>411</v>
      </c>
    </row>
    <row r="67" customFormat="false" ht="23.85" hidden="false" customHeight="false" outlineLevel="0" collapsed="false">
      <c r="A67" s="8" t="s">
        <v>377</v>
      </c>
      <c r="B67" s="6" t="s">
        <v>31</v>
      </c>
      <c r="C67" s="6" t="s">
        <v>245</v>
      </c>
      <c r="D67" s="6" t="s">
        <v>408</v>
      </c>
      <c r="E67" s="6" t="s">
        <v>412</v>
      </c>
      <c r="F67" s="6" t="s">
        <v>410</v>
      </c>
      <c r="G67" s="6" t="s">
        <v>413</v>
      </c>
    </row>
    <row r="68" customFormat="false" ht="23.85" hidden="false" customHeight="false" outlineLevel="0" collapsed="false">
      <c r="A68" s="8" t="s">
        <v>377</v>
      </c>
      <c r="B68" s="6" t="s">
        <v>54</v>
      </c>
      <c r="C68" s="6" t="s">
        <v>251</v>
      </c>
      <c r="D68" s="6" t="s">
        <v>408</v>
      </c>
      <c r="E68" s="6" t="s">
        <v>252</v>
      </c>
      <c r="F68" s="6" t="s">
        <v>410</v>
      </c>
      <c r="G68" s="6" t="s">
        <v>414</v>
      </c>
    </row>
    <row r="69" customFormat="false" ht="23.85" hidden="false" customHeight="false" outlineLevel="0" collapsed="false">
      <c r="A69" s="8" t="s">
        <v>377</v>
      </c>
      <c r="B69" s="6" t="s">
        <v>62</v>
      </c>
      <c r="C69" s="6" t="s">
        <v>306</v>
      </c>
      <c r="D69" s="6" t="s">
        <v>415</v>
      </c>
      <c r="E69" s="6" t="s">
        <v>416</v>
      </c>
      <c r="F69" s="6" t="s">
        <v>410</v>
      </c>
      <c r="G69" s="6" t="s">
        <v>417</v>
      </c>
    </row>
    <row r="70" customFormat="false" ht="23.85" hidden="false" customHeight="false" outlineLevel="0" collapsed="false">
      <c r="A70" s="8" t="s">
        <v>377</v>
      </c>
      <c r="B70" s="6" t="s">
        <v>418</v>
      </c>
      <c r="C70" s="6" t="s">
        <v>314</v>
      </c>
      <c r="D70" s="6" t="s">
        <v>419</v>
      </c>
      <c r="E70" s="6" t="s">
        <v>420</v>
      </c>
      <c r="F70" s="6" t="s">
        <v>421</v>
      </c>
      <c r="G70" s="6" t="s">
        <v>422</v>
      </c>
    </row>
    <row r="71" customFormat="false" ht="23.85" hidden="false" customHeight="false" outlineLevel="0" collapsed="false">
      <c r="A71" s="8" t="s">
        <v>377</v>
      </c>
      <c r="B71" s="6" t="s">
        <v>97</v>
      </c>
      <c r="C71" s="6" t="s">
        <v>423</v>
      </c>
      <c r="D71" s="6" t="s">
        <v>424</v>
      </c>
      <c r="E71" s="6" t="s">
        <v>98</v>
      </c>
      <c r="F71" s="6" t="s">
        <v>410</v>
      </c>
      <c r="G71" s="6" t="s">
        <v>425</v>
      </c>
    </row>
    <row r="72" customFormat="false" ht="23.85" hidden="false" customHeight="false" outlineLevel="0" collapsed="false">
      <c r="A72" s="8" t="s">
        <v>377</v>
      </c>
      <c r="B72" s="6" t="s">
        <v>106</v>
      </c>
      <c r="C72" s="6" t="s">
        <v>232</v>
      </c>
      <c r="D72" s="6" t="s">
        <v>426</v>
      </c>
      <c r="E72" s="6" t="s">
        <v>427</v>
      </c>
      <c r="F72" s="6" t="s">
        <v>410</v>
      </c>
      <c r="G72" s="6" t="s">
        <v>428</v>
      </c>
    </row>
    <row r="73" customFormat="false" ht="23.85" hidden="false" customHeight="false" outlineLevel="0" collapsed="false">
      <c r="A73" s="8" t="s">
        <v>377</v>
      </c>
      <c r="B73" s="6" t="s">
        <v>108</v>
      </c>
      <c r="C73" s="6" t="s">
        <v>242</v>
      </c>
      <c r="D73" s="6" t="s">
        <v>429</v>
      </c>
      <c r="E73" s="6" t="s">
        <v>430</v>
      </c>
      <c r="F73" s="6" t="s">
        <v>431</v>
      </c>
      <c r="G73" s="6" t="s">
        <v>432</v>
      </c>
    </row>
    <row r="74" customFormat="false" ht="15" hidden="false" customHeight="false" outlineLevel="0" collapsed="false">
      <c r="A74" s="8" t="s">
        <v>377</v>
      </c>
      <c r="B74" s="6" t="s">
        <v>110</v>
      </c>
      <c r="C74" s="6" t="s">
        <v>276</v>
      </c>
      <c r="D74" s="6" t="s">
        <v>111</v>
      </c>
      <c r="E74" s="6" t="s">
        <v>433</v>
      </c>
      <c r="F74" s="6" t="s">
        <v>410</v>
      </c>
      <c r="G74" s="6" t="s">
        <v>434</v>
      </c>
    </row>
    <row r="75" customFormat="false" ht="23.85" hidden="false" customHeight="false" outlineLevel="0" collapsed="false">
      <c r="A75" s="8" t="s">
        <v>377</v>
      </c>
      <c r="B75" s="6" t="s">
        <v>118</v>
      </c>
      <c r="C75" s="6" t="s">
        <v>279</v>
      </c>
      <c r="D75" s="6" t="s">
        <v>111</v>
      </c>
      <c r="E75" s="6" t="s">
        <v>435</v>
      </c>
      <c r="F75" s="6" t="s">
        <v>436</v>
      </c>
      <c r="G75" s="6" t="s">
        <v>437</v>
      </c>
    </row>
    <row r="76" customFormat="false" ht="23.85" hidden="false" customHeight="false" outlineLevel="0" collapsed="false">
      <c r="A76" s="8" t="s">
        <v>377</v>
      </c>
      <c r="B76" s="6" t="s">
        <v>438</v>
      </c>
      <c r="C76" s="6" t="s">
        <v>311</v>
      </c>
      <c r="D76" s="6" t="s">
        <v>439</v>
      </c>
      <c r="E76" s="6" t="s">
        <v>440</v>
      </c>
      <c r="F76" s="6" t="s">
        <v>410</v>
      </c>
      <c r="G76" s="6" t="s">
        <v>441</v>
      </c>
    </row>
    <row r="77" customFormat="false" ht="23.85" hidden="false" customHeight="false" outlineLevel="0" collapsed="false">
      <c r="A77" s="8" t="s">
        <v>377</v>
      </c>
      <c r="B77" s="6" t="s">
        <v>135</v>
      </c>
      <c r="C77" s="6" t="s">
        <v>317</v>
      </c>
      <c r="D77" s="6" t="s">
        <v>439</v>
      </c>
      <c r="E77" s="6" t="s">
        <v>136</v>
      </c>
      <c r="F77" s="6" t="s">
        <v>431</v>
      </c>
      <c r="G77" s="6" t="s">
        <v>442</v>
      </c>
    </row>
    <row r="78" customFormat="false" ht="15" hidden="false" customHeight="false" outlineLevel="0" collapsed="false">
      <c r="A78" s="8" t="s">
        <v>377</v>
      </c>
      <c r="B78" s="6" t="s">
        <v>142</v>
      </c>
      <c r="C78" s="6" t="s">
        <v>323</v>
      </c>
      <c r="D78" s="6" t="s">
        <v>439</v>
      </c>
      <c r="E78" s="6" t="s">
        <v>443</v>
      </c>
      <c r="F78" s="6" t="s">
        <v>436</v>
      </c>
      <c r="G78" s="6" t="s">
        <v>444</v>
      </c>
    </row>
    <row r="79" customFormat="false" ht="15" hidden="false" customHeight="false" outlineLevel="0" collapsed="false">
      <c r="A79" s="8" t="s">
        <v>377</v>
      </c>
      <c r="B79" s="6" t="s">
        <v>144</v>
      </c>
      <c r="C79" s="6" t="s">
        <v>308</v>
      </c>
      <c r="D79" s="6" t="s">
        <v>439</v>
      </c>
      <c r="E79" s="6" t="s">
        <v>145</v>
      </c>
      <c r="F79" s="6" t="s">
        <v>410</v>
      </c>
      <c r="G79" s="6" t="s">
        <v>445</v>
      </c>
    </row>
    <row r="80" customFormat="false" ht="23.85" hidden="false" customHeight="false" outlineLevel="0" collapsed="false">
      <c r="A80" s="8" t="s">
        <v>377</v>
      </c>
      <c r="B80" s="6" t="s">
        <v>147</v>
      </c>
      <c r="C80" s="6" t="s">
        <v>288</v>
      </c>
      <c r="D80" s="6" t="s">
        <v>439</v>
      </c>
      <c r="E80" s="6" t="s">
        <v>148</v>
      </c>
      <c r="F80" s="6" t="s">
        <v>410</v>
      </c>
      <c r="G80" s="6" t="s">
        <v>446</v>
      </c>
    </row>
    <row r="81" customFormat="false" ht="23.85" hidden="false" customHeight="false" outlineLevel="0" collapsed="false">
      <c r="A81" s="8" t="s">
        <v>377</v>
      </c>
      <c r="B81" s="6" t="s">
        <v>151</v>
      </c>
      <c r="C81" s="6" t="s">
        <v>297</v>
      </c>
      <c r="D81" s="6" t="s">
        <v>439</v>
      </c>
      <c r="E81" s="6" t="s">
        <v>447</v>
      </c>
      <c r="F81" s="6" t="s">
        <v>410</v>
      </c>
      <c r="G81" s="6" t="s">
        <v>448</v>
      </c>
    </row>
    <row r="82" customFormat="false" ht="23.85" hidden="false" customHeight="false" outlineLevel="0" collapsed="false">
      <c r="A82" s="8" t="s">
        <v>377</v>
      </c>
      <c r="B82" s="6" t="s">
        <v>163</v>
      </c>
      <c r="C82" s="6" t="s">
        <v>269</v>
      </c>
      <c r="D82" s="6" t="s">
        <v>262</v>
      </c>
      <c r="E82" s="6" t="s">
        <v>449</v>
      </c>
      <c r="F82" s="6" t="s">
        <v>436</v>
      </c>
      <c r="G82" s="6" t="s">
        <v>450</v>
      </c>
    </row>
    <row r="83" customFormat="false" ht="15" hidden="false" customHeight="false" outlineLevel="0" collapsed="false">
      <c r="A83" s="13" t="s">
        <v>378</v>
      </c>
      <c r="B83" s="6" t="s">
        <v>160</v>
      </c>
      <c r="C83" s="6" t="s">
        <v>275</v>
      </c>
      <c r="D83" s="6" t="s">
        <v>262</v>
      </c>
      <c r="E83" s="6" t="s">
        <v>451</v>
      </c>
      <c r="F83" s="6" t="s">
        <v>410</v>
      </c>
      <c r="G83" s="6" t="s">
        <v>452</v>
      </c>
    </row>
    <row r="84" customFormat="false" ht="23.85" hidden="false" customHeight="false" outlineLevel="0" collapsed="false">
      <c r="A84" s="13" t="s">
        <v>378</v>
      </c>
      <c r="B84" s="6" t="s">
        <v>189</v>
      </c>
      <c r="C84" s="6" t="s">
        <v>261</v>
      </c>
      <c r="D84" s="6" t="s">
        <v>262</v>
      </c>
      <c r="E84" s="6" t="s">
        <v>453</v>
      </c>
      <c r="F84" s="6" t="s">
        <v>454</v>
      </c>
      <c r="G84" s="6" t="s">
        <v>455</v>
      </c>
    </row>
    <row r="85" customFormat="false" ht="15" hidden="false" customHeight="false" outlineLevel="0" collapsed="false">
      <c r="A85" s="13" t="s">
        <v>378</v>
      </c>
      <c r="B85" s="6" t="s">
        <v>158</v>
      </c>
      <c r="C85" s="6" t="s">
        <v>337</v>
      </c>
      <c r="D85" s="6" t="s">
        <v>456</v>
      </c>
      <c r="E85" s="6" t="s">
        <v>159</v>
      </c>
      <c r="F85" s="6" t="s">
        <v>410</v>
      </c>
      <c r="G85" s="6" t="s">
        <v>452</v>
      </c>
    </row>
    <row r="86" customFormat="false" ht="15" hidden="false" customHeight="false" outlineLevel="0" collapsed="false">
      <c r="A86" s="13" t="s">
        <v>378</v>
      </c>
      <c r="B86" s="6" t="s">
        <v>165</v>
      </c>
      <c r="C86" s="6" t="s">
        <v>339</v>
      </c>
      <c r="D86" s="6" t="s">
        <v>456</v>
      </c>
      <c r="E86" s="6" t="s">
        <v>457</v>
      </c>
      <c r="F86" s="6" t="s">
        <v>410</v>
      </c>
      <c r="G86" s="6" t="s">
        <v>452</v>
      </c>
    </row>
    <row r="87" customFormat="false" ht="15" hidden="false" customHeight="false" outlineLevel="0" collapsed="false">
      <c r="A87" s="13" t="s">
        <v>378</v>
      </c>
      <c r="B87" s="6" t="s">
        <v>167</v>
      </c>
      <c r="C87" s="6" t="s">
        <v>341</v>
      </c>
      <c r="D87" s="6" t="s">
        <v>458</v>
      </c>
      <c r="E87" s="6" t="s">
        <v>168</v>
      </c>
      <c r="F87" s="6" t="s">
        <v>431</v>
      </c>
      <c r="G87" s="6" t="s">
        <v>452</v>
      </c>
    </row>
    <row r="88" customFormat="false" ht="15" hidden="false" customHeight="false" outlineLevel="0" collapsed="false">
      <c r="A88" s="13" t="s">
        <v>378</v>
      </c>
      <c r="B88" s="6" t="s">
        <v>172</v>
      </c>
      <c r="C88" s="6"/>
      <c r="D88" s="6" t="s">
        <v>458</v>
      </c>
      <c r="E88" s="6" t="s">
        <v>173</v>
      </c>
      <c r="F88" s="6" t="s">
        <v>386</v>
      </c>
      <c r="G88" s="6" t="s">
        <v>459</v>
      </c>
    </row>
    <row r="89" customFormat="false" ht="15" hidden="false" customHeight="false" outlineLevel="0" collapsed="false">
      <c r="A89" s="13" t="s">
        <v>378</v>
      </c>
      <c r="B89" s="6" t="s">
        <v>170</v>
      </c>
      <c r="C89" s="6"/>
      <c r="D89" s="6" t="s">
        <v>458</v>
      </c>
      <c r="E89" s="6" t="s">
        <v>171</v>
      </c>
      <c r="F89" s="6" t="s">
        <v>390</v>
      </c>
      <c r="G89" s="6" t="s">
        <v>459</v>
      </c>
    </row>
    <row r="90" customFormat="false" ht="15" hidden="false" customHeight="false" outlineLevel="0" collapsed="false">
      <c r="A90" s="13" t="s">
        <v>378</v>
      </c>
      <c r="B90" s="6" t="s">
        <v>153</v>
      </c>
      <c r="C90" s="6"/>
      <c r="D90" s="6" t="s">
        <v>415</v>
      </c>
      <c r="E90" s="6" t="s">
        <v>155</v>
      </c>
      <c r="F90" s="6" t="s">
        <v>386</v>
      </c>
      <c r="G90" s="6" t="s">
        <v>459</v>
      </c>
    </row>
    <row r="91" customFormat="false" ht="23.85" hidden="false" customHeight="false" outlineLevel="0" collapsed="false">
      <c r="A91" s="13" t="s">
        <v>378</v>
      </c>
      <c r="B91" s="6" t="s">
        <v>197</v>
      </c>
      <c r="C91" s="6" t="s">
        <v>361</v>
      </c>
      <c r="D91" s="6" t="s">
        <v>460</v>
      </c>
      <c r="E91" s="6" t="s">
        <v>199</v>
      </c>
      <c r="F91" s="6" t="s">
        <v>431</v>
      </c>
      <c r="G91" s="6" t="s">
        <v>461</v>
      </c>
    </row>
    <row r="92" customFormat="false" ht="15" hidden="false" customHeight="false" outlineLevel="0" collapsed="false">
      <c r="A92" s="13" t="s">
        <v>378</v>
      </c>
      <c r="B92" s="6" t="s">
        <v>204</v>
      </c>
      <c r="C92" s="6" t="s">
        <v>365</v>
      </c>
      <c r="D92" s="6" t="s">
        <v>460</v>
      </c>
      <c r="E92" s="6" t="s">
        <v>462</v>
      </c>
      <c r="F92" s="6" t="s">
        <v>410</v>
      </c>
      <c r="G92" s="6" t="s">
        <v>452</v>
      </c>
    </row>
    <row r="93" customFormat="false" ht="15" hidden="false" customHeight="false" outlineLevel="0" collapsed="false">
      <c r="A93" s="13" t="s">
        <v>378</v>
      </c>
      <c r="B93" s="6" t="s">
        <v>88</v>
      </c>
      <c r="C93" s="6" t="s">
        <v>366</v>
      </c>
      <c r="D93" s="6" t="s">
        <v>460</v>
      </c>
      <c r="E93" s="6" t="s">
        <v>463</v>
      </c>
      <c r="F93" s="6" t="s">
        <v>464</v>
      </c>
      <c r="G93" s="6" t="s">
        <v>452</v>
      </c>
    </row>
    <row r="94" customFormat="false" ht="15" hidden="false" customHeight="false" outlineLevel="0" collapsed="false">
      <c r="A94" s="13" t="s">
        <v>378</v>
      </c>
      <c r="B94" s="6" t="s">
        <v>174</v>
      </c>
      <c r="C94" s="6" t="s">
        <v>343</v>
      </c>
      <c r="D94" s="6" t="s">
        <v>465</v>
      </c>
      <c r="E94" s="6" t="s">
        <v>466</v>
      </c>
      <c r="F94" s="6" t="s">
        <v>431</v>
      </c>
      <c r="G94" s="6" t="s">
        <v>452</v>
      </c>
    </row>
    <row r="95" customFormat="false" ht="15" hidden="false" customHeight="false" outlineLevel="0" collapsed="false">
      <c r="A95" s="13" t="s">
        <v>378</v>
      </c>
      <c r="B95" s="6" t="s">
        <v>180</v>
      </c>
      <c r="C95" s="6" t="s">
        <v>349</v>
      </c>
      <c r="D95" s="6" t="s">
        <v>465</v>
      </c>
      <c r="E95" s="6" t="s">
        <v>181</v>
      </c>
      <c r="F95" s="6" t="s">
        <v>436</v>
      </c>
      <c r="G95" s="6" t="s">
        <v>452</v>
      </c>
    </row>
    <row r="96" customFormat="false" ht="15" hidden="false" customHeight="false" outlineLevel="0" collapsed="false">
      <c r="A96" s="13" t="s">
        <v>378</v>
      </c>
      <c r="B96" s="6" t="s">
        <v>182</v>
      </c>
      <c r="C96" s="6" t="s">
        <v>350</v>
      </c>
      <c r="D96" s="6" t="s">
        <v>465</v>
      </c>
      <c r="E96" s="6" t="s">
        <v>183</v>
      </c>
      <c r="F96" s="6" t="s">
        <v>436</v>
      </c>
      <c r="G96" s="6" t="s">
        <v>452</v>
      </c>
    </row>
    <row r="97" customFormat="false" ht="15" hidden="false" customHeight="false" outlineLevel="0" collapsed="false">
      <c r="A97" s="13" t="s">
        <v>378</v>
      </c>
      <c r="B97" s="6" t="s">
        <v>184</v>
      </c>
      <c r="C97" s="6" t="s">
        <v>348</v>
      </c>
      <c r="D97" s="6" t="s">
        <v>465</v>
      </c>
      <c r="E97" s="6" t="s">
        <v>467</v>
      </c>
      <c r="F97" s="6" t="s">
        <v>431</v>
      </c>
      <c r="G97" s="6" t="s">
        <v>452</v>
      </c>
    </row>
    <row r="98" customFormat="false" ht="15" hidden="false" customHeight="false" outlineLevel="0" collapsed="false">
      <c r="A98" s="13" t="s">
        <v>378</v>
      </c>
      <c r="B98" s="6" t="s">
        <v>187</v>
      </c>
      <c r="C98" s="6" t="s">
        <v>352</v>
      </c>
      <c r="D98" s="6" t="s">
        <v>465</v>
      </c>
      <c r="E98" s="6" t="s">
        <v>468</v>
      </c>
      <c r="F98" s="6" t="s">
        <v>436</v>
      </c>
      <c r="G98" s="6" t="s">
        <v>452</v>
      </c>
    </row>
    <row r="99" customFormat="false" ht="15" hidden="false" customHeight="false" outlineLevel="0" collapsed="false">
      <c r="A99" s="13" t="s">
        <v>378</v>
      </c>
      <c r="B99" s="6" t="s">
        <v>191</v>
      </c>
      <c r="C99" s="6" t="s">
        <v>358</v>
      </c>
      <c r="D99" s="6" t="s">
        <v>465</v>
      </c>
      <c r="E99" s="6" t="s">
        <v>192</v>
      </c>
      <c r="F99" s="6" t="s">
        <v>431</v>
      </c>
      <c r="G99" s="6" t="s">
        <v>452</v>
      </c>
    </row>
    <row r="100" customFormat="false" ht="15" hidden="false" customHeight="false" outlineLevel="0" collapsed="false">
      <c r="A100" s="13" t="s">
        <v>378</v>
      </c>
      <c r="B100" s="6" t="s">
        <v>194</v>
      </c>
      <c r="C100" s="6" t="s">
        <v>359</v>
      </c>
      <c r="D100" s="6" t="s">
        <v>465</v>
      </c>
      <c r="E100" s="6" t="s">
        <v>469</v>
      </c>
      <c r="F100" s="6" t="s">
        <v>436</v>
      </c>
      <c r="G100" s="6" t="s">
        <v>452</v>
      </c>
    </row>
    <row r="101" customFormat="false" ht="15" hidden="false" customHeight="false" outlineLevel="0" collapsed="false">
      <c r="A101" s="13" t="s">
        <v>378</v>
      </c>
      <c r="B101" s="6"/>
      <c r="C101" s="6" t="s">
        <v>344</v>
      </c>
      <c r="D101" s="6" t="s">
        <v>465</v>
      </c>
      <c r="E101" s="6" t="s">
        <v>470</v>
      </c>
      <c r="F101" s="6" t="s">
        <v>406</v>
      </c>
      <c r="G101" s="6" t="s">
        <v>471</v>
      </c>
    </row>
    <row r="102" customFormat="false" ht="15" hidden="false" customHeight="false" outlineLevel="0" collapsed="false">
      <c r="A102" s="13" t="s">
        <v>378</v>
      </c>
      <c r="B102" s="6"/>
      <c r="C102" s="6" t="s">
        <v>354</v>
      </c>
      <c r="D102" s="6" t="s">
        <v>465</v>
      </c>
      <c r="E102" s="6" t="s">
        <v>472</v>
      </c>
      <c r="F102" s="6" t="s">
        <v>406</v>
      </c>
      <c r="G102" s="6" t="s">
        <v>471</v>
      </c>
    </row>
  </sheetData>
  <mergeCells count="2">
    <mergeCell ref="A2:G2"/>
    <mergeCell ref="D6: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2026-10-09T23:52:49Z</dcterms:created>
  <dc:creator>openpyxl</dc:creator>
  <dc:description/>
  <dc:language>en-US</dc:language>
  <cp:lastModifiedBy/>
  <dcterms:modified xsi:type="dcterms:W3CDTF">2026-10-10T00:07:12Z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